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siness" sheetId="1" r:id="rId4"/>
    <sheet state="visible" name="Personal" sheetId="2" r:id="rId5"/>
  </sheets>
  <definedNames/>
  <calcPr/>
  <extLst>
    <ext uri="GoogleSheetsCustomDataVersion2">
      <go:sheetsCustomData xmlns:go="http://customooxmlschemas.google.com/" r:id="rId6" roundtripDataChecksum="ws6WU+ELB9A88LwaRcMuz8qUHVm2XTZzmK5jW+eLamE="/>
    </ext>
  </extLst>
</workbook>
</file>

<file path=xl/sharedStrings.xml><?xml version="1.0" encoding="utf-8"?>
<sst xmlns="http://schemas.openxmlformats.org/spreadsheetml/2006/main" count="126" uniqueCount="72">
  <si>
    <t>Card Type:</t>
  </si>
  <si>
    <t>Annual Fee</t>
  </si>
  <si>
    <t>Credit Score Required</t>
  </si>
  <si>
    <t>Bonus</t>
  </si>
  <si>
    <t>Required Spend</t>
  </si>
  <si>
    <t>% Back</t>
  </si>
  <si>
    <t>Fees</t>
  </si>
  <si>
    <t>Point Cash Value</t>
  </si>
  <si>
    <t>Cash Value</t>
  </si>
  <si>
    <t>Delta Value @ 1.2</t>
  </si>
  <si>
    <t>Marriot Value</t>
  </si>
  <si>
    <t>Hyatt Value @ 2.3</t>
  </si>
  <si>
    <t>Southwest Value @ 1.5</t>
  </si>
  <si>
    <t>United Value @ 1.2</t>
  </si>
  <si>
    <t>AA @ 1.3</t>
  </si>
  <si>
    <t>Cash Back Value %</t>
  </si>
  <si>
    <t>Delta Value @ 1.22 %</t>
  </si>
  <si>
    <t>Marriot Value @ .7 %</t>
  </si>
  <si>
    <t>Hyatt Value @ 2.32 %</t>
  </si>
  <si>
    <t>United Value @ 1.23 %</t>
  </si>
  <si>
    <t>AA @ 1.34 %</t>
  </si>
  <si>
    <t>SW Value @ 1.5 %</t>
  </si>
  <si>
    <t>Notes</t>
  </si>
  <si>
    <t>Notable Extra Benefits to be shown (not in calc)</t>
  </si>
  <si>
    <t>AMEX Biz Platinum</t>
  </si>
  <si>
    <t>NEED BIZ CHECKING ACCOUNT)</t>
  </si>
  <si>
    <t>$600 AMEX Travel Hotel Credit, $200 Hilton Credit, $150 Dell Credit, $120 Cell Phone Credit</t>
  </si>
  <si>
    <t>AMEX Biz Gold</t>
  </si>
  <si>
    <t xml:space="preserve">$250 Flexibile Business Credit (GrubHub, Office Supplies Stores), </t>
  </si>
  <si>
    <t>AMEX BB Cash</t>
  </si>
  <si>
    <t>Can you get Biz checking with this? Syas $250 statement credit so think no point redemtion needed</t>
  </si>
  <si>
    <t>AMEX Delta Gold</t>
  </si>
  <si>
    <t>$150 fee year after</t>
  </si>
  <si>
    <t>15% off Mile Redemption flights, First checked bag free</t>
  </si>
  <si>
    <t>AMEX Marriot Bonvoy</t>
  </si>
  <si>
    <t>AMEX Hilton Honors</t>
  </si>
  <si>
    <t>NOT WORTH IT</t>
  </si>
  <si>
    <t>Capital One Spark 2% Cash plus</t>
  </si>
  <si>
    <t>Capital One Spark Cash</t>
  </si>
  <si>
    <t>95 fee year 2</t>
  </si>
  <si>
    <t>Capital One Cash Select</t>
  </si>
  <si>
    <t>Capital One X Venture</t>
  </si>
  <si>
    <t>Travel Partners Stink</t>
  </si>
  <si>
    <t>Capital One Spark 2x Miles or 1.5x Miles?</t>
  </si>
  <si>
    <t>Chase Ink Unlimited</t>
  </si>
  <si>
    <t>NEED PREMIER OR OTHER PERSONAL CARD FOR TRAVEL</t>
  </si>
  <si>
    <t>Chase Ink Cash</t>
  </si>
  <si>
    <t>Chase Ink Preferred (for travel)</t>
  </si>
  <si>
    <t>Chase Ink Premier</t>
  </si>
  <si>
    <t>Chase United Business</t>
  </si>
  <si>
    <t>Is it worth it?</t>
  </si>
  <si>
    <t>Chase Southwest Business Premier</t>
  </si>
  <si>
    <t>First checked bag free</t>
  </si>
  <si>
    <t>Citi AA Business Cards MUST REVIEW</t>
  </si>
  <si>
    <t>Personal:</t>
  </si>
  <si>
    <t>Chase Sapphire Preferred</t>
  </si>
  <si>
    <t>$50 Chase Travel Hotel Credit, Free Dashpass</t>
  </si>
  <si>
    <t>Chase Southwest</t>
  </si>
  <si>
    <t>First Checked Bag Free</t>
  </si>
  <si>
    <t>Chase United Explorer</t>
  </si>
  <si>
    <t>150 fee after first year</t>
  </si>
  <si>
    <t>Chase Marriot?</t>
  </si>
  <si>
    <t>Chase IHG?</t>
  </si>
  <si>
    <t>AMEX Blue Cash Everyday</t>
  </si>
  <si>
    <t>$7/mo Disney, Hulu, or ESPN Annual Credit</t>
  </si>
  <si>
    <t>AMEX Green</t>
  </si>
  <si>
    <t>not valuable now</t>
  </si>
  <si>
    <t>150 fee year 2</t>
  </si>
  <si>
    <t>Capital One Venture or X Venture?</t>
  </si>
  <si>
    <t>Transfer Partners look sketch</t>
  </si>
  <si>
    <t>Citi AA Platinum Select</t>
  </si>
  <si>
    <t>Citi Double Cash (for small added expense)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</si>
</sst>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&quot;$&quot;* #,##0.00_);_(&quot;$&quot;* \(#,##0.00\);_(&quot;$&quot;* &quot;-&quot;??_);_(@_)"/>
    <numFmt numFmtId="165" formatCode="0.0%"/>
  </numFmts>
  <fonts count="11">
    <font>
      <sz val="12.0"/>
      <color theme="1"/>
      <name val="Aptos Narrow"/>
      <scheme val="minor"/>
    </font>
    <font>
      <sz val="12.0"/>
      <color rgb="FFFFFFFF"/>
      <name val="Aptos"/>
    </font>
    <font>
      <sz val="12.0"/>
      <color rgb="FFFFFFFF"/>
      <name val="Aptos Narrow"/>
    </font>
    <font>
      <color rgb="FFFFFFFF"/>
      <name val="Aptos Narrow"/>
      <scheme val="minor"/>
    </font>
    <font>
      <sz val="12.0"/>
      <color theme="1"/>
      <name val="Aptos"/>
    </font>
    <font>
      <sz val="12.0"/>
      <color theme="1"/>
      <name val="Aptos Narrow"/>
    </font>
    <font>
      <color theme="1"/>
      <name val="Aptos Narrow"/>
      <scheme val="minor"/>
    </font>
    <font>
      <sz val="12.0"/>
      <color theme="1"/>
      <name val="Arial"/>
    </font>
    <font>
      <color theme="1"/>
      <name val="Arial"/>
    </font>
    <font>
      <b/>
      <sz val="12.0"/>
      <color theme="0"/>
      <name val="Aptos"/>
    </font>
    <font>
      <b/>
      <sz val="12.0"/>
      <color theme="0"/>
      <name val="Aptos Narrow"/>
    </font>
  </fonts>
  <fills count="3">
    <fill>
      <patternFill patternType="none"/>
    </fill>
    <fill>
      <patternFill patternType="lightGray"/>
    </fill>
    <fill>
      <patternFill patternType="solid">
        <fgColor theme="5"/>
        <bgColor theme="5"/>
      </patternFill>
    </fill>
  </fills>
  <borders count="4">
    <border/>
    <border>
      <left style="thin">
        <color rgb="FF45B0E1"/>
      </left>
      <right/>
      <top/>
      <bottom style="thin">
        <color rgb="FF45B0E1"/>
      </bottom>
    </border>
    <border>
      <left/>
      <right/>
      <top/>
      <bottom style="thin">
        <color rgb="FF45B0E1"/>
      </bottom>
    </border>
    <border>
      <left/>
      <right style="thin">
        <color rgb="FF45B0E1"/>
      </right>
      <top/>
      <bottom style="thin">
        <color rgb="FF45B0E1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164" xfId="0" applyFont="1" applyNumberFormat="1"/>
    <xf borderId="0" fillId="0" fontId="3" numFmtId="0" xfId="0" applyFont="1"/>
    <xf borderId="0" fillId="0" fontId="2" numFmtId="9" xfId="0" applyFont="1" applyNumberFormat="1"/>
    <xf borderId="0" fillId="0" fontId="2" numFmtId="0" xfId="0" applyAlignment="1" applyFont="1">
      <alignment shrinkToFit="0" wrapText="1"/>
    </xf>
    <xf borderId="0" fillId="0" fontId="4" numFmtId="0" xfId="0" applyAlignment="1" applyFont="1">
      <alignment vertical="center"/>
    </xf>
    <xf borderId="0" fillId="0" fontId="5" numFmtId="164" xfId="0" applyFont="1" applyNumberFormat="1"/>
    <xf borderId="0" fillId="0" fontId="6" numFmtId="0" xfId="0" applyFont="1"/>
    <xf borderId="0" fillId="0" fontId="5" numFmtId="9" xfId="0" applyFont="1" applyNumberFormat="1"/>
    <xf borderId="0" fillId="0" fontId="5" numFmtId="10" xfId="0" applyFont="1" applyNumberFormat="1"/>
    <xf borderId="0" fillId="0" fontId="5" numFmtId="0" xfId="0" applyAlignment="1" applyFont="1">
      <alignment shrinkToFit="0" wrapText="1"/>
    </xf>
    <xf borderId="0" fillId="0" fontId="5" numFmtId="165" xfId="0" applyFont="1" applyNumberFormat="1"/>
    <xf borderId="0" fillId="0" fontId="7" numFmtId="0" xfId="0" applyAlignment="1" applyFont="1">
      <alignment readingOrder="0" vertical="center"/>
    </xf>
    <xf borderId="0" fillId="0" fontId="7" numFmtId="164" xfId="0" applyAlignment="1" applyFont="1" applyNumberFormat="1">
      <alignment readingOrder="0"/>
    </xf>
    <xf borderId="0" fillId="0" fontId="8" numFmtId="0" xfId="0" applyAlignment="1" applyFont="1">
      <alignment readingOrder="0"/>
    </xf>
    <xf borderId="0" fillId="0" fontId="7" numFmtId="10" xfId="0" applyAlignment="1" applyFont="1" applyNumberFormat="1">
      <alignment readingOrder="0"/>
    </xf>
    <xf borderId="0" fillId="0" fontId="8" numFmtId="164" xfId="0" applyAlignment="1" applyFont="1" applyNumberFormat="1">
      <alignment readingOrder="0"/>
    </xf>
    <xf borderId="0" fillId="0" fontId="4" numFmtId="0" xfId="0" applyAlignment="1" applyFont="1">
      <alignment vertical="center"/>
    </xf>
    <xf borderId="0" fillId="0" fontId="5" numFmtId="164" xfId="0" applyFont="1" applyNumberFormat="1"/>
    <xf borderId="0" fillId="0" fontId="5" numFmtId="9" xfId="0" applyFont="1" applyNumberFormat="1"/>
    <xf borderId="0" fillId="0" fontId="5" numFmtId="0" xfId="0" applyAlignment="1" applyFont="1">
      <alignment shrinkToFit="0" wrapText="1"/>
    </xf>
    <xf borderId="0" fillId="0" fontId="6" numFmtId="0" xfId="0" applyFont="1"/>
    <xf borderId="0" fillId="0" fontId="5" numFmtId="10" xfId="0" applyFont="1" applyNumberFormat="1"/>
    <xf borderId="1" fillId="2" fontId="9" numFmtId="0" xfId="0" applyAlignment="1" applyBorder="1" applyFill="1" applyFont="1">
      <alignment vertical="center"/>
    </xf>
    <xf borderId="2" fillId="2" fontId="10" numFmtId="164" xfId="0" applyBorder="1" applyFont="1" applyNumberFormat="1"/>
    <xf borderId="2" fillId="2" fontId="10" numFmtId="0" xfId="0" applyBorder="1" applyFont="1"/>
    <xf borderId="2" fillId="2" fontId="10" numFmtId="9" xfId="0" applyBorder="1" applyFont="1" applyNumberFormat="1"/>
    <xf borderId="2" fillId="2" fontId="10" numFmtId="0" xfId="0" applyAlignment="1" applyBorder="1" applyFont="1">
      <alignment shrinkToFit="0" wrapText="1"/>
    </xf>
    <xf borderId="3" fillId="2" fontId="10" numFmtId="0" xfId="0" applyAlignment="1" applyBorder="1" applyFont="1">
      <alignment shrinkToFit="0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rgb="FFFAE2D5"/>
          <bgColor rgb="FFFAE2D5"/>
        </patternFill>
      </fill>
      <border/>
    </dxf>
  </dxfs>
  <tableStyles count="2">
    <tableStyle count="3" pivot="0" name="Business-style">
      <tableStyleElement dxfId="1" type="headerRow"/>
      <tableStyleElement dxfId="2" type="firstRowStripe"/>
      <tableStyleElement dxfId="3" type="secondRowStripe"/>
    </tableStyle>
    <tableStyle count="3" pivot="0" name="Personal-style">
      <tableStyleElement dxfId="4" type="headerRow"/>
      <tableStyleElement dxfId="5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X19" displayName="Table_1" name="Table_1" id="1">
  <tableColumns count="24">
    <tableColumn name="Card Type:" id="1"/>
    <tableColumn name="Annual Fee" id="2"/>
    <tableColumn name="Credit Score Required" id="3"/>
    <tableColumn name="Bonus" id="4"/>
    <tableColumn name="Required Spend" id="5"/>
    <tableColumn name="% Back" id="6"/>
    <tableColumn name="Fees" id="7"/>
    <tableColumn name="Point Cash Value" id="8"/>
    <tableColumn name="Cash Value" id="9"/>
    <tableColumn name="Delta Value @ 1.2" id="10"/>
    <tableColumn name="Marriot Value" id="11"/>
    <tableColumn name="Hyatt Value @ 2.3" id="12"/>
    <tableColumn name="Southwest Value @ 1.5" id="13"/>
    <tableColumn name="United Value @ 1.2" id="14"/>
    <tableColumn name="AA @ 1.3" id="15"/>
    <tableColumn name="Cash Back Value %" id="16"/>
    <tableColumn name="Delta Value @ 1.22 %" id="17"/>
    <tableColumn name="Marriot Value @ .7 %" id="18"/>
    <tableColumn name="Hyatt Value @ 2.32 %" id="19"/>
    <tableColumn name="United Value @ 1.23 %" id="20"/>
    <tableColumn name="AA @ 1.34 %" id="21"/>
    <tableColumn name="SW Value @ 1.5 %" id="22"/>
    <tableColumn name="Notes" id="23"/>
    <tableColumn name="Notable Extra Benefits to be shown (not in calc)" id="24"/>
  </tableColumns>
  <tableStyleInfo name="Business-style" showColumnStripes="0" showFirstColumn="1" showLastColumn="1" showRowStripes="1"/>
</table>
</file>

<file path=xl/tables/table2.xml><?xml version="1.0" encoding="utf-8"?>
<table xmlns="http://schemas.openxmlformats.org/spreadsheetml/2006/main" ref="A1:X13" displayName="Table_2" name="Table_2" id="2">
  <tableColumns count="24">
    <tableColumn name="Card Type:" id="1"/>
    <tableColumn name="Annual Fee" id="2"/>
    <tableColumn name="Credit Score Required" id="3"/>
    <tableColumn name="Bonus" id="4"/>
    <tableColumn name="Required Spend" id="5"/>
    <tableColumn name="% Back" id="6"/>
    <tableColumn name="Fees" id="7"/>
    <tableColumn name="Point Cash Value" id="8"/>
    <tableColumn name="Cash Value" id="9"/>
    <tableColumn name="Delta Value @ 1.2" id="10"/>
    <tableColumn name="Marriot Value" id="11"/>
    <tableColumn name="Hyatt Value @ 2.3" id="12"/>
    <tableColumn name="Southwest Value @ 1.5" id="13"/>
    <tableColumn name="United Value @ 1.2" id="14"/>
    <tableColumn name="AA @ 1.3" id="15"/>
    <tableColumn name="Cash Back Value %" id="16"/>
    <tableColumn name="Delta Value @ 1.22 %" id="17"/>
    <tableColumn name="Marriot Value @ .7 %" id="18"/>
    <tableColumn name="Hyatt Value @ 2.32 %" id="19"/>
    <tableColumn name="United Value @ 1.23 %" id="20"/>
    <tableColumn name="AA @ 1.34 %" id="21"/>
    <tableColumn name="SW Value @ 1.5 %" id="22"/>
    <tableColumn name="Notes" id="23"/>
    <tableColumn name="Notable Extra Benefits to be shown (not in calc)" id="24"/>
  </tableColumns>
  <tableStyleInfo name="Personal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1.22" defaultRowHeight="15.0"/>
  <cols>
    <col customWidth="1" min="1" max="1" width="39.0"/>
    <col customWidth="1" min="2" max="2" width="25.78"/>
    <col customWidth="1" min="3" max="3" width="22.67"/>
    <col customWidth="1" min="4" max="4" width="10.56"/>
    <col customWidth="1" min="5" max="5" width="17.67"/>
    <col customWidth="1" min="6" max="6" width="9.67"/>
    <col customWidth="1" min="7" max="7" width="11.11"/>
    <col customWidth="1" min="8" max="8" width="17.67"/>
    <col customWidth="1" min="9" max="9" width="13.0"/>
    <col customWidth="1" min="10" max="10" width="17.78"/>
    <col customWidth="1" min="11" max="11" width="14.67"/>
    <col customWidth="1" min="12" max="12" width="17.78"/>
    <col customWidth="1" min="13" max="13" width="16.78"/>
    <col customWidth="1" min="14" max="14" width="17.11"/>
    <col customWidth="1" min="15" max="15" width="14.33"/>
    <col customWidth="1" min="16" max="16" width="19.44"/>
    <col customWidth="1" min="17" max="17" width="20.78"/>
    <col customWidth="1" min="18" max="18" width="20.33"/>
    <col customWidth="1" min="19" max="19" width="20.78"/>
    <col customWidth="1" min="20" max="20" width="21.67"/>
    <col customWidth="1" min="21" max="21" width="13.44"/>
    <col customWidth="1" min="22" max="22" width="17.78"/>
    <col customWidth="1" min="23" max="23" width="40.33"/>
    <col customWidth="1" min="24" max="24" width="21.67"/>
    <col customWidth="1" min="25" max="26" width="10.56"/>
  </cols>
  <sheetData>
    <row r="1" ht="15.75" customHeigh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5" t="s">
        <v>22</v>
      </c>
      <c r="X1" s="5" t="s">
        <v>23</v>
      </c>
    </row>
    <row r="2" ht="15.75" customHeight="1">
      <c r="A2" s="6" t="s">
        <v>24</v>
      </c>
      <c r="B2" s="7">
        <v>895.0</v>
      </c>
      <c r="C2" s="7"/>
      <c r="D2" s="8">
        <v>200000.0</v>
      </c>
      <c r="E2" s="7">
        <v>20000.0</v>
      </c>
      <c r="F2" s="9">
        <v>0.02</v>
      </c>
      <c r="G2" s="7">
        <f t="shared" ref="G2:G6" si="1">-(E2*0.03)-B2</f>
        <v>-1495</v>
      </c>
      <c r="H2" s="7">
        <f t="shared" ref="H2:H4" si="2">(E2*F2)+(D2*0.01)</f>
        <v>2400</v>
      </c>
      <c r="I2" s="7">
        <f t="shared" ref="I2:I4" si="3">H2+G2</f>
        <v>905</v>
      </c>
      <c r="J2" s="7">
        <f t="shared" ref="J2:J4" si="4">(H2*1.2)+G2</f>
        <v>1385</v>
      </c>
      <c r="K2" s="7">
        <v>0.0</v>
      </c>
      <c r="L2" s="7"/>
      <c r="M2" s="7"/>
      <c r="N2" s="7"/>
      <c r="O2" s="7"/>
      <c r="P2" s="10">
        <f t="shared" ref="P2:P4" si="5">I2/E2</f>
        <v>0.04525</v>
      </c>
      <c r="Q2" s="10">
        <f t="shared" ref="Q2:Q5" si="6">J2/E2</f>
        <v>0.06925</v>
      </c>
      <c r="R2" s="10"/>
      <c r="S2" s="10"/>
      <c r="T2" s="10"/>
      <c r="U2" s="10"/>
      <c r="V2" s="10"/>
      <c r="W2" s="11" t="s">
        <v>25</v>
      </c>
      <c r="X2" s="11" t="s">
        <v>26</v>
      </c>
    </row>
    <row r="3" ht="15.75" customHeight="1">
      <c r="A3" s="6" t="s">
        <v>27</v>
      </c>
      <c r="B3" s="7">
        <v>395.0</v>
      </c>
      <c r="C3" s="7"/>
      <c r="D3" s="8">
        <v>100000.0</v>
      </c>
      <c r="E3" s="7">
        <v>15000.0</v>
      </c>
      <c r="F3" s="9">
        <v>0.01</v>
      </c>
      <c r="G3" s="7">
        <f t="shared" si="1"/>
        <v>-845</v>
      </c>
      <c r="H3" s="7">
        <f t="shared" si="2"/>
        <v>1150</v>
      </c>
      <c r="I3" s="7">
        <f t="shared" si="3"/>
        <v>305</v>
      </c>
      <c r="J3" s="7">
        <f t="shared" si="4"/>
        <v>535</v>
      </c>
      <c r="K3" s="7">
        <v>0.0</v>
      </c>
      <c r="L3" s="7"/>
      <c r="M3" s="7"/>
      <c r="N3" s="7"/>
      <c r="O3" s="7"/>
      <c r="P3" s="10">
        <f t="shared" si="5"/>
        <v>0.02033333333</v>
      </c>
      <c r="Q3" s="10">
        <f t="shared" si="6"/>
        <v>0.03566666667</v>
      </c>
      <c r="R3" s="10"/>
      <c r="S3" s="10"/>
      <c r="T3" s="10"/>
      <c r="U3" s="10"/>
      <c r="V3" s="10"/>
      <c r="W3" s="11"/>
      <c r="X3" s="11" t="s">
        <v>28</v>
      </c>
    </row>
    <row r="4" ht="15.75" customHeight="1">
      <c r="A4" s="6" t="s">
        <v>29</v>
      </c>
      <c r="B4" s="7">
        <v>0.0</v>
      </c>
      <c r="C4" s="7"/>
      <c r="D4" s="8">
        <v>25000.0</v>
      </c>
      <c r="E4" s="7">
        <v>3000.0</v>
      </c>
      <c r="F4" s="9">
        <v>0.02</v>
      </c>
      <c r="G4" s="7">
        <f t="shared" si="1"/>
        <v>-90</v>
      </c>
      <c r="H4" s="7">
        <f t="shared" si="2"/>
        <v>310</v>
      </c>
      <c r="I4" s="7">
        <f t="shared" si="3"/>
        <v>220</v>
      </c>
      <c r="J4" s="7">
        <f t="shared" si="4"/>
        <v>282</v>
      </c>
      <c r="K4" s="7">
        <v>0.0</v>
      </c>
      <c r="L4" s="7"/>
      <c r="M4" s="7"/>
      <c r="N4" s="7"/>
      <c r="O4" s="7"/>
      <c r="P4" s="10">
        <f t="shared" si="5"/>
        <v>0.07333333333</v>
      </c>
      <c r="Q4" s="10">
        <f t="shared" si="6"/>
        <v>0.094</v>
      </c>
      <c r="R4" s="10"/>
      <c r="S4" s="10"/>
      <c r="T4" s="10"/>
      <c r="U4" s="10"/>
      <c r="V4" s="10"/>
      <c r="W4" s="11" t="s">
        <v>30</v>
      </c>
      <c r="X4" s="11"/>
    </row>
    <row r="5" ht="15.75" customHeight="1">
      <c r="A5" s="6" t="s">
        <v>31</v>
      </c>
      <c r="B5" s="7">
        <v>0.0</v>
      </c>
      <c r="C5" s="7"/>
      <c r="D5" s="8">
        <v>60000.0</v>
      </c>
      <c r="E5" s="7">
        <v>4000.0</v>
      </c>
      <c r="F5" s="9">
        <v>0.01</v>
      </c>
      <c r="G5" s="7">
        <f t="shared" si="1"/>
        <v>-120</v>
      </c>
      <c r="H5" s="7">
        <v>0.0</v>
      </c>
      <c r="I5" s="7">
        <v>0.0</v>
      </c>
      <c r="J5" s="7">
        <f>(D5*0.012)+G5</f>
        <v>600</v>
      </c>
      <c r="K5" s="7">
        <v>0.0</v>
      </c>
      <c r="L5" s="7"/>
      <c r="M5" s="7"/>
      <c r="N5" s="7"/>
      <c r="O5" s="7"/>
      <c r="P5" s="10"/>
      <c r="Q5" s="10">
        <f t="shared" si="6"/>
        <v>0.15</v>
      </c>
      <c r="R5" s="10"/>
      <c r="S5" s="10"/>
      <c r="T5" s="10"/>
      <c r="U5" s="10"/>
      <c r="V5" s="10"/>
      <c r="W5" s="11" t="s">
        <v>32</v>
      </c>
      <c r="X5" s="11" t="s">
        <v>33</v>
      </c>
    </row>
    <row r="6" ht="15.75" customHeight="1">
      <c r="A6" s="6" t="s">
        <v>34</v>
      </c>
      <c r="B6" s="7">
        <v>125.0</v>
      </c>
      <c r="C6" s="7"/>
      <c r="D6" s="8">
        <v>125000.0</v>
      </c>
      <c r="E6" s="7">
        <v>9000.0</v>
      </c>
      <c r="F6" s="9">
        <v>0.01</v>
      </c>
      <c r="G6" s="7">
        <f t="shared" si="1"/>
        <v>-395</v>
      </c>
      <c r="H6" s="7">
        <v>0.0</v>
      </c>
      <c r="I6" s="7">
        <v>0.0</v>
      </c>
      <c r="J6" s="7">
        <v>0.0</v>
      </c>
      <c r="K6" s="7">
        <f>((D6+E6)*0.7*0.01)+G6</f>
        <v>543</v>
      </c>
      <c r="L6" s="7"/>
      <c r="M6" s="7"/>
      <c r="N6" s="7"/>
      <c r="O6" s="7"/>
      <c r="P6" s="10">
        <v>0.0</v>
      </c>
      <c r="Q6" s="10">
        <v>0.0</v>
      </c>
      <c r="R6" s="10">
        <f>K6/E6</f>
        <v>0.06033333333</v>
      </c>
      <c r="S6" s="10"/>
      <c r="T6" s="10"/>
      <c r="U6" s="10"/>
      <c r="V6" s="10"/>
      <c r="W6" s="11"/>
      <c r="X6" s="11"/>
    </row>
    <row r="7" ht="15.75" customHeight="1">
      <c r="A7" s="6" t="s">
        <v>35</v>
      </c>
      <c r="B7" s="7" t="s">
        <v>36</v>
      </c>
      <c r="C7" s="7"/>
      <c r="D7" s="8"/>
      <c r="E7" s="7"/>
      <c r="F7" s="9"/>
      <c r="G7" s="8"/>
      <c r="H7" s="8"/>
      <c r="I7" s="8"/>
      <c r="J7" s="8"/>
      <c r="K7" s="8"/>
      <c r="L7" s="8"/>
      <c r="M7" s="8"/>
      <c r="N7" s="8"/>
      <c r="O7" s="8"/>
      <c r="P7" s="10"/>
      <c r="Q7" s="10"/>
      <c r="R7" s="10">
        <v>0.0</v>
      </c>
      <c r="S7" s="10"/>
      <c r="T7" s="10"/>
      <c r="U7" s="10"/>
      <c r="V7" s="10"/>
      <c r="W7" s="11"/>
      <c r="X7" s="11"/>
    </row>
    <row r="8" ht="15.75" customHeight="1">
      <c r="A8" s="6" t="s">
        <v>37</v>
      </c>
      <c r="B8" s="7">
        <v>150.0</v>
      </c>
      <c r="C8" s="7"/>
      <c r="D8" s="8">
        <v>2000.0</v>
      </c>
      <c r="E8" s="7">
        <v>30000.0</v>
      </c>
      <c r="F8" s="9">
        <v>0.02</v>
      </c>
      <c r="G8" s="7">
        <v>-1050.0</v>
      </c>
      <c r="H8" s="7">
        <v>2450.0</v>
      </c>
      <c r="I8" s="7">
        <v>1550.0</v>
      </c>
      <c r="J8" s="7">
        <v>0.0</v>
      </c>
      <c r="K8" s="7">
        <v>0.0</v>
      </c>
      <c r="L8" s="7">
        <v>0.0</v>
      </c>
      <c r="M8" s="7">
        <v>0.0</v>
      </c>
      <c r="N8" s="7">
        <v>0.0</v>
      </c>
      <c r="O8" s="7">
        <v>0.0</v>
      </c>
      <c r="P8" s="10">
        <f t="shared" ref="P8:P10" si="7">I8/E8</f>
        <v>0.05166666667</v>
      </c>
      <c r="Q8" s="10">
        <v>0.0</v>
      </c>
      <c r="R8" s="10">
        <v>0.0</v>
      </c>
      <c r="S8" s="10">
        <v>0.0</v>
      </c>
      <c r="T8" s="10">
        <v>0.0</v>
      </c>
      <c r="U8" s="10">
        <v>0.0</v>
      </c>
      <c r="V8" s="10">
        <v>0.0</v>
      </c>
      <c r="W8" s="11"/>
      <c r="X8" s="11"/>
    </row>
    <row r="9" ht="15.75" customHeight="1">
      <c r="A9" s="6" t="s">
        <v>38</v>
      </c>
      <c r="B9" s="7">
        <v>0.0</v>
      </c>
      <c r="C9" s="7"/>
      <c r="D9" s="8">
        <v>1000.0</v>
      </c>
      <c r="E9" s="7">
        <v>10000.0</v>
      </c>
      <c r="F9" s="9">
        <v>0.02</v>
      </c>
      <c r="G9" s="7">
        <f t="shared" ref="G9:G10" si="8">-E9*0.03</f>
        <v>-300</v>
      </c>
      <c r="H9" s="7">
        <v>1200.0</v>
      </c>
      <c r="I9" s="7">
        <v>900.0</v>
      </c>
      <c r="J9" s="7">
        <v>0.0</v>
      </c>
      <c r="K9" s="7">
        <v>0.0</v>
      </c>
      <c r="L9" s="7"/>
      <c r="M9" s="7"/>
      <c r="N9" s="7"/>
      <c r="O9" s="7"/>
      <c r="P9" s="10">
        <f t="shared" si="7"/>
        <v>0.09</v>
      </c>
      <c r="Q9" s="10">
        <v>0.0</v>
      </c>
      <c r="R9" s="10">
        <v>0.0</v>
      </c>
      <c r="S9" s="10"/>
      <c r="T9" s="10"/>
      <c r="U9" s="10"/>
      <c r="V9" s="10"/>
      <c r="W9" s="11" t="s">
        <v>39</v>
      </c>
      <c r="X9" s="11"/>
    </row>
    <row r="10" ht="15.75" customHeight="1">
      <c r="A10" s="6" t="s">
        <v>40</v>
      </c>
      <c r="B10" s="7">
        <v>0.0</v>
      </c>
      <c r="C10" s="7"/>
      <c r="D10" s="8">
        <v>750.0</v>
      </c>
      <c r="E10" s="7">
        <v>6000.0</v>
      </c>
      <c r="F10" s="12">
        <v>0.015</v>
      </c>
      <c r="G10" s="7">
        <f t="shared" si="8"/>
        <v>-180</v>
      </c>
      <c r="H10" s="7">
        <v>840.0</v>
      </c>
      <c r="I10" s="7">
        <v>660.0</v>
      </c>
      <c r="J10" s="7">
        <v>0.0</v>
      </c>
      <c r="K10" s="7">
        <v>0.0</v>
      </c>
      <c r="L10" s="7"/>
      <c r="M10" s="7"/>
      <c r="N10" s="7"/>
      <c r="O10" s="7"/>
      <c r="P10" s="10">
        <f t="shared" si="7"/>
        <v>0.11</v>
      </c>
      <c r="Q10" s="10">
        <v>0.0</v>
      </c>
      <c r="R10" s="10">
        <v>0.0</v>
      </c>
      <c r="S10" s="10"/>
      <c r="T10" s="10"/>
      <c r="U10" s="10"/>
      <c r="V10" s="10"/>
      <c r="W10" s="11"/>
      <c r="X10" s="11"/>
    </row>
    <row r="11" ht="15.75" customHeight="1">
      <c r="A11" s="6" t="s">
        <v>41</v>
      </c>
      <c r="B11" s="7" t="s">
        <v>42</v>
      </c>
      <c r="C11" s="7"/>
      <c r="D11" s="8"/>
      <c r="E11" s="7"/>
      <c r="F11" s="9"/>
      <c r="G11" s="8"/>
      <c r="H11" s="8"/>
      <c r="I11" s="8"/>
      <c r="J11" s="8"/>
      <c r="K11" s="8"/>
      <c r="L11" s="8"/>
      <c r="M11" s="8"/>
      <c r="N11" s="8"/>
      <c r="O11" s="8"/>
      <c r="P11" s="10"/>
      <c r="Q11" s="10"/>
      <c r="R11" s="10"/>
      <c r="S11" s="10"/>
      <c r="T11" s="10"/>
      <c r="U11" s="10"/>
      <c r="V11" s="10"/>
      <c r="W11" s="11"/>
      <c r="X11" s="11"/>
    </row>
    <row r="12" ht="15.75" customHeight="1">
      <c r="A12" s="6" t="s">
        <v>43</v>
      </c>
      <c r="B12" s="7" t="s">
        <v>42</v>
      </c>
      <c r="C12" s="7"/>
      <c r="D12" s="8"/>
      <c r="E12" s="7"/>
      <c r="F12" s="9"/>
      <c r="G12" s="8"/>
      <c r="H12" s="8"/>
      <c r="I12" s="8"/>
      <c r="J12" s="8"/>
      <c r="K12" s="8"/>
      <c r="L12" s="8"/>
      <c r="M12" s="8"/>
      <c r="N12" s="8"/>
      <c r="O12" s="8"/>
      <c r="P12" s="10"/>
      <c r="Q12" s="10"/>
      <c r="R12" s="10"/>
      <c r="S12" s="10"/>
      <c r="T12" s="10"/>
      <c r="U12" s="10"/>
      <c r="V12" s="10"/>
      <c r="W12" s="11"/>
      <c r="X12" s="11"/>
    </row>
    <row r="13" ht="15.75" customHeight="1">
      <c r="A13" s="6" t="s">
        <v>44</v>
      </c>
      <c r="B13" s="7">
        <v>0.0</v>
      </c>
      <c r="C13" s="7"/>
      <c r="D13" s="8">
        <v>75000.0</v>
      </c>
      <c r="E13" s="7">
        <v>6000.0</v>
      </c>
      <c r="F13" s="12">
        <v>0.015</v>
      </c>
      <c r="G13" s="7">
        <f>-E13*0.03</f>
        <v>-180</v>
      </c>
      <c r="H13" s="7">
        <v>840.0</v>
      </c>
      <c r="I13" s="7">
        <v>660.0</v>
      </c>
      <c r="J13" s="7">
        <v>0.0</v>
      </c>
      <c r="K13" s="7">
        <v>0.0</v>
      </c>
      <c r="L13" s="7">
        <f>(840*2.3)+G13</f>
        <v>1752</v>
      </c>
      <c r="M13" s="7">
        <f>(840*1.5)+G13</f>
        <v>1080</v>
      </c>
      <c r="N13" s="7"/>
      <c r="O13" s="7"/>
      <c r="P13" s="10">
        <f t="shared" ref="P13:P15" si="9">I13/E13</f>
        <v>0.11</v>
      </c>
      <c r="Q13" s="10"/>
      <c r="R13" s="10"/>
      <c r="S13" s="10">
        <f t="shared" ref="S13:S15" si="10">L13/E13</f>
        <v>0.292</v>
      </c>
      <c r="T13" s="10"/>
      <c r="U13" s="10"/>
      <c r="V13" s="10">
        <f t="shared" ref="V13:V15" si="11">M13/E13</f>
        <v>0.18</v>
      </c>
      <c r="W13" s="11" t="s">
        <v>45</v>
      </c>
      <c r="X13" s="11"/>
    </row>
    <row r="14" ht="15.75" customHeight="1">
      <c r="A14" s="6" t="s">
        <v>46</v>
      </c>
      <c r="B14" s="7">
        <v>0.0</v>
      </c>
      <c r="C14" s="7"/>
      <c r="D14" s="8">
        <v>75000.0</v>
      </c>
      <c r="E14" s="7">
        <v>6000.0</v>
      </c>
      <c r="F14" s="9">
        <v>0.01</v>
      </c>
      <c r="G14" s="7">
        <v>-180.0</v>
      </c>
      <c r="H14" s="7">
        <v>840.0</v>
      </c>
      <c r="I14" s="7">
        <v>630.0</v>
      </c>
      <c r="J14" s="7">
        <v>0.0</v>
      </c>
      <c r="K14" s="7">
        <v>0.0</v>
      </c>
      <c r="L14" s="7">
        <f>(810*2.3)+G14</f>
        <v>1683</v>
      </c>
      <c r="M14" s="7">
        <f>(810*1.5)+G14</f>
        <v>1035</v>
      </c>
      <c r="N14" s="7"/>
      <c r="O14" s="7"/>
      <c r="P14" s="10">
        <f t="shared" si="9"/>
        <v>0.105</v>
      </c>
      <c r="Q14" s="10"/>
      <c r="R14" s="10"/>
      <c r="S14" s="10">
        <f t="shared" si="10"/>
        <v>0.2805</v>
      </c>
      <c r="T14" s="10"/>
      <c r="U14" s="10"/>
      <c r="V14" s="10">
        <f t="shared" si="11"/>
        <v>0.1725</v>
      </c>
      <c r="W14" s="11" t="s">
        <v>45</v>
      </c>
      <c r="X14" s="11"/>
    </row>
    <row r="15" ht="15.75" customHeight="1">
      <c r="A15" s="6" t="s">
        <v>47</v>
      </c>
      <c r="B15" s="7">
        <v>95.0</v>
      </c>
      <c r="C15" s="7"/>
      <c r="D15" s="8">
        <v>100000.0</v>
      </c>
      <c r="E15" s="7">
        <v>10000.0</v>
      </c>
      <c r="F15" s="9">
        <v>0.01</v>
      </c>
      <c r="G15" s="7">
        <f>-E15*0.03</f>
        <v>-300</v>
      </c>
      <c r="H15" s="7">
        <v>1100.0</v>
      </c>
      <c r="I15" s="7">
        <v>710.0</v>
      </c>
      <c r="J15" s="7">
        <v>0.0</v>
      </c>
      <c r="K15" s="7">
        <v>0.0</v>
      </c>
      <c r="L15" s="7">
        <f>(H15*2.3)+G15-B15</f>
        <v>2135</v>
      </c>
      <c r="M15" s="7">
        <f t="shared" ref="M15:M16" si="12">(H15*1.5)+G15-B15</f>
        <v>1255</v>
      </c>
      <c r="N15" s="7"/>
      <c r="O15" s="7"/>
      <c r="P15" s="10">
        <f t="shared" si="9"/>
        <v>0.071</v>
      </c>
      <c r="Q15" s="10"/>
      <c r="R15" s="10"/>
      <c r="S15" s="10">
        <f t="shared" si="10"/>
        <v>0.2135</v>
      </c>
      <c r="T15" s="10"/>
      <c r="U15" s="10"/>
      <c r="V15" s="10">
        <f t="shared" si="11"/>
        <v>0.1255</v>
      </c>
      <c r="W15" s="11"/>
      <c r="X15" s="11"/>
    </row>
    <row r="16" ht="15.75" customHeight="1">
      <c r="A16" s="13" t="s">
        <v>48</v>
      </c>
      <c r="B16" s="14">
        <v>195.0</v>
      </c>
      <c r="C16" s="7"/>
      <c r="D16" s="15">
        <v>100000.0</v>
      </c>
      <c r="E16" s="14">
        <v>100000.0</v>
      </c>
      <c r="F16" s="16">
        <v>0.025</v>
      </c>
      <c r="G16" s="17">
        <v>-195.0</v>
      </c>
      <c r="H16" s="14">
        <v>1250.0</v>
      </c>
      <c r="I16" s="14">
        <v>755.0</v>
      </c>
      <c r="J16" s="8"/>
      <c r="K16" s="8"/>
      <c r="L16" s="14">
        <v>2380.0</v>
      </c>
      <c r="M16" s="7">
        <f t="shared" si="12"/>
        <v>1485</v>
      </c>
      <c r="N16" s="8"/>
      <c r="O16" s="8"/>
      <c r="P16" s="16">
        <v>0.0755</v>
      </c>
      <c r="Q16" s="10"/>
      <c r="R16" s="10"/>
      <c r="S16" s="16">
        <v>0.238</v>
      </c>
      <c r="T16" s="10"/>
      <c r="U16" s="10"/>
      <c r="V16" s="16">
        <v>0.148</v>
      </c>
      <c r="W16" s="11"/>
      <c r="X16" s="11"/>
    </row>
    <row r="17" ht="15.75" customHeight="1">
      <c r="A17" s="6" t="s">
        <v>49</v>
      </c>
      <c r="B17" s="7" t="s">
        <v>50</v>
      </c>
      <c r="C17" s="7"/>
      <c r="D17" s="8"/>
      <c r="E17" s="7"/>
      <c r="F17" s="9"/>
      <c r="G17" s="8"/>
      <c r="H17" s="8"/>
      <c r="I17" s="8"/>
      <c r="J17" s="8"/>
      <c r="K17" s="8"/>
      <c r="L17" s="8"/>
      <c r="M17" s="8"/>
      <c r="N17" s="8"/>
      <c r="O17" s="8"/>
      <c r="P17" s="10"/>
      <c r="Q17" s="10"/>
      <c r="R17" s="10"/>
      <c r="S17" s="10"/>
      <c r="T17" s="10"/>
      <c r="U17" s="10"/>
      <c r="V17" s="10"/>
      <c r="W17" s="11"/>
      <c r="X17" s="11"/>
    </row>
    <row r="18" ht="15.75" customHeight="1">
      <c r="A18" s="6" t="s">
        <v>51</v>
      </c>
      <c r="B18" s="7">
        <v>149.0</v>
      </c>
      <c r="C18" s="7"/>
      <c r="D18" s="8">
        <v>60000.0</v>
      </c>
      <c r="E18" s="7">
        <v>3000.0</v>
      </c>
      <c r="F18" s="9">
        <v>0.01</v>
      </c>
      <c r="G18" s="7">
        <f>-E18*0.03</f>
        <v>-90</v>
      </c>
      <c r="H18" s="7">
        <v>0.0</v>
      </c>
      <c r="I18" s="7">
        <v>0.0</v>
      </c>
      <c r="J18" s="7">
        <v>0.0</v>
      </c>
      <c r="K18" s="7">
        <v>0.0</v>
      </c>
      <c r="L18" s="7">
        <v>0.0</v>
      </c>
      <c r="M18" s="7">
        <v>706.0</v>
      </c>
      <c r="N18" s="7"/>
      <c r="O18" s="7"/>
      <c r="P18" s="10">
        <v>0.0</v>
      </c>
      <c r="Q18" s="10">
        <v>0.0</v>
      </c>
      <c r="R18" s="10">
        <v>0.0</v>
      </c>
      <c r="S18" s="10">
        <v>0.0</v>
      </c>
      <c r="T18" s="10"/>
      <c r="U18" s="10"/>
      <c r="V18" s="10">
        <f>M18/E18</f>
        <v>0.2353333333</v>
      </c>
      <c r="W18" s="11"/>
      <c r="X18" s="11" t="s">
        <v>52</v>
      </c>
    </row>
    <row r="19" ht="15.75" customHeight="1">
      <c r="A19" s="13" t="s">
        <v>53</v>
      </c>
      <c r="B19" s="7" t="s">
        <v>50</v>
      </c>
      <c r="C19" s="7"/>
      <c r="D19" s="8"/>
      <c r="E19" s="7"/>
      <c r="F19" s="9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11"/>
      <c r="X19" s="11"/>
    </row>
    <row r="20" ht="15.75" customHeight="1">
      <c r="A20" s="18"/>
      <c r="B20" s="19"/>
      <c r="C20" s="19"/>
      <c r="E20" s="19"/>
      <c r="F20" s="20"/>
      <c r="W20" s="21"/>
      <c r="X20" s="21"/>
    </row>
    <row r="21" ht="15.75" customHeight="1">
      <c r="A21" s="18"/>
      <c r="B21" s="19"/>
      <c r="C21" s="19"/>
      <c r="E21" s="19"/>
      <c r="F21" s="20"/>
      <c r="W21" s="21"/>
      <c r="X21" s="21"/>
    </row>
    <row r="22" ht="15.75" customHeight="1">
      <c r="A22" s="18"/>
      <c r="B22" s="19"/>
      <c r="C22" s="19"/>
      <c r="E22" s="19"/>
      <c r="F22" s="20"/>
      <c r="W22" s="21"/>
      <c r="X22" s="21"/>
    </row>
    <row r="23" ht="15.75" customHeight="1">
      <c r="A23" s="18"/>
      <c r="B23" s="19"/>
      <c r="C23" s="19"/>
      <c r="E23" s="19"/>
      <c r="F23" s="20"/>
      <c r="W23" s="21"/>
      <c r="X23" s="21"/>
    </row>
    <row r="24" ht="15.75" customHeight="1">
      <c r="A24" s="18"/>
      <c r="B24" s="19"/>
      <c r="C24" s="19"/>
      <c r="E24" s="19"/>
      <c r="F24" s="20"/>
      <c r="W24" s="21"/>
      <c r="X24" s="21"/>
    </row>
    <row r="25" ht="15.75" customHeight="1">
      <c r="A25" s="18"/>
      <c r="B25" s="19"/>
      <c r="C25" s="19"/>
      <c r="E25" s="19"/>
      <c r="F25" s="20"/>
      <c r="W25" s="21"/>
      <c r="X25" s="21"/>
    </row>
    <row r="26" ht="15.75" customHeight="1">
      <c r="A26" s="18" t="s">
        <v>54</v>
      </c>
      <c r="B26" s="19"/>
      <c r="C26" s="19"/>
      <c r="E26" s="19"/>
      <c r="F26" s="20"/>
      <c r="W26" s="21"/>
      <c r="X26" s="21"/>
    </row>
    <row r="27" ht="15.75" customHeight="1">
      <c r="A27" s="18"/>
      <c r="B27" s="19"/>
      <c r="C27" s="19"/>
      <c r="E27" s="19"/>
      <c r="F27" s="20"/>
      <c r="W27" s="21"/>
      <c r="X27" s="21"/>
    </row>
    <row r="28" ht="15.75" customHeight="1">
      <c r="A28" s="18" t="s">
        <v>55</v>
      </c>
      <c r="B28" s="19">
        <v>95.0</v>
      </c>
      <c r="C28" s="19"/>
      <c r="D28" s="22">
        <v>75000.0</v>
      </c>
      <c r="E28" s="19">
        <v>5000.0</v>
      </c>
      <c r="F28" s="20">
        <v>0.01</v>
      </c>
      <c r="G28" s="19">
        <v>-150.0</v>
      </c>
      <c r="H28" s="19">
        <v>800.0</v>
      </c>
      <c r="I28" s="19">
        <v>555.0</v>
      </c>
      <c r="J28" s="19">
        <v>0.0</v>
      </c>
      <c r="K28" s="19">
        <v>0.0</v>
      </c>
      <c r="L28" s="19">
        <v>1595.0</v>
      </c>
      <c r="M28" s="19">
        <v>955.0</v>
      </c>
      <c r="N28" s="19"/>
      <c r="O28" s="19"/>
      <c r="P28" s="23">
        <f>I28/E28</f>
        <v>0.111</v>
      </c>
      <c r="Q28" s="23">
        <v>0.0</v>
      </c>
      <c r="R28" s="23">
        <v>0.0</v>
      </c>
      <c r="S28" s="23">
        <f>L28/E28</f>
        <v>0.319</v>
      </c>
      <c r="T28" s="23"/>
      <c r="U28" s="23"/>
      <c r="V28" s="23">
        <f t="shared" ref="V28:V29" si="13">M28/E28</f>
        <v>0.191</v>
      </c>
      <c r="W28" s="21"/>
      <c r="X28" s="21" t="s">
        <v>56</v>
      </c>
    </row>
    <row r="29" ht="15.75" customHeight="1">
      <c r="A29" s="18" t="s">
        <v>57</v>
      </c>
      <c r="B29" s="19">
        <v>99.0</v>
      </c>
      <c r="C29" s="19"/>
      <c r="D29" s="22">
        <v>50000.0</v>
      </c>
      <c r="E29" s="19">
        <v>1000.0</v>
      </c>
      <c r="F29" s="20">
        <v>0.01</v>
      </c>
      <c r="G29" s="19">
        <v>-30.0</v>
      </c>
      <c r="H29" s="19">
        <v>0.0</v>
      </c>
      <c r="I29" s="19">
        <v>0.0</v>
      </c>
      <c r="J29" s="19">
        <v>0.0</v>
      </c>
      <c r="K29" s="19">
        <v>0.0</v>
      </c>
      <c r="L29" s="19">
        <v>0.0</v>
      </c>
      <c r="M29" s="19">
        <v>636.0</v>
      </c>
      <c r="N29" s="19"/>
      <c r="O29" s="19"/>
      <c r="P29" s="19">
        <v>0.0</v>
      </c>
      <c r="Q29" s="19">
        <v>0.0</v>
      </c>
      <c r="R29" s="19">
        <v>0.0</v>
      </c>
      <c r="S29" s="19">
        <v>0.0</v>
      </c>
      <c r="T29" s="19"/>
      <c r="U29" s="19"/>
      <c r="V29" s="23">
        <f t="shared" si="13"/>
        <v>0.636</v>
      </c>
      <c r="W29" s="21"/>
      <c r="X29" s="21" t="s">
        <v>58</v>
      </c>
    </row>
    <row r="30" ht="15.75" customHeight="1">
      <c r="A30" s="18" t="s">
        <v>59</v>
      </c>
      <c r="B30" s="19">
        <v>0.0</v>
      </c>
      <c r="C30" s="19"/>
      <c r="D30" s="22">
        <v>60000.0</v>
      </c>
      <c r="E30" s="19">
        <v>3000.0</v>
      </c>
      <c r="F30" s="20">
        <v>0.01</v>
      </c>
      <c r="G30" s="19">
        <v>-90.0</v>
      </c>
      <c r="H30" s="19">
        <v>0.0</v>
      </c>
      <c r="I30" s="19">
        <v>0.0</v>
      </c>
      <c r="J30" s="19">
        <v>0.0</v>
      </c>
      <c r="K30" s="19">
        <v>0.0</v>
      </c>
      <c r="L30" s="19">
        <v>0.0</v>
      </c>
      <c r="M30" s="19">
        <v>0.0</v>
      </c>
      <c r="N30" s="19">
        <v>666.0</v>
      </c>
      <c r="O30" s="19"/>
      <c r="P30" s="19">
        <v>0.0</v>
      </c>
      <c r="Q30" s="19">
        <v>0.0</v>
      </c>
      <c r="R30" s="19">
        <v>0.0</v>
      </c>
      <c r="S30" s="19">
        <v>0.0</v>
      </c>
      <c r="V30" s="23">
        <v>0.22</v>
      </c>
      <c r="W30" s="21" t="s">
        <v>60</v>
      </c>
      <c r="X30" s="21" t="s">
        <v>58</v>
      </c>
    </row>
    <row r="31" ht="15.75" customHeight="1">
      <c r="A31" s="18" t="s">
        <v>61</v>
      </c>
      <c r="B31" s="19"/>
      <c r="C31" s="19"/>
      <c r="E31" s="19"/>
      <c r="F31" s="20"/>
      <c r="W31" s="21"/>
      <c r="X31" s="21"/>
    </row>
    <row r="32" ht="15.75" customHeight="1">
      <c r="A32" s="18" t="s">
        <v>62</v>
      </c>
      <c r="B32" s="19"/>
      <c r="C32" s="19"/>
      <c r="E32" s="19"/>
      <c r="F32" s="20"/>
      <c r="W32" s="21"/>
      <c r="X32" s="21"/>
    </row>
    <row r="33" ht="15.75" customHeight="1">
      <c r="A33" s="18" t="s">
        <v>63</v>
      </c>
      <c r="B33" s="19">
        <v>0.0</v>
      </c>
      <c r="C33" s="19"/>
      <c r="D33" s="22">
        <v>200.0</v>
      </c>
      <c r="E33" s="19">
        <v>2000.0</v>
      </c>
      <c r="F33" s="20">
        <v>0.01</v>
      </c>
      <c r="G33" s="19">
        <v>-60.0</v>
      </c>
      <c r="H33" s="19">
        <v>160.0</v>
      </c>
      <c r="I33" s="19">
        <v>0.0</v>
      </c>
      <c r="J33" s="19">
        <v>0.0</v>
      </c>
      <c r="K33" s="19">
        <v>0.0</v>
      </c>
      <c r="L33" s="19">
        <v>0.0</v>
      </c>
      <c r="M33" s="19">
        <v>0.0</v>
      </c>
      <c r="N33" s="19">
        <v>0.0</v>
      </c>
      <c r="O33" s="19"/>
      <c r="P33" s="23">
        <f>H33/E33</f>
        <v>0.08</v>
      </c>
      <c r="Q33" s="19">
        <v>0.0</v>
      </c>
      <c r="R33" s="19">
        <v>0.0</v>
      </c>
      <c r="S33" s="19">
        <v>0.0</v>
      </c>
      <c r="W33" s="21"/>
      <c r="X33" s="21" t="s">
        <v>64</v>
      </c>
    </row>
    <row r="34" ht="15.75" customHeight="1">
      <c r="A34" s="18" t="s">
        <v>65</v>
      </c>
      <c r="B34" s="19" t="s">
        <v>66</v>
      </c>
      <c r="C34" s="19"/>
      <c r="E34" s="19"/>
      <c r="F34" s="20"/>
      <c r="W34" s="21"/>
      <c r="X34" s="21"/>
    </row>
    <row r="35" ht="15.75" customHeight="1">
      <c r="A35" s="18" t="s">
        <v>31</v>
      </c>
      <c r="B35" s="19">
        <v>0.0</v>
      </c>
      <c r="C35" s="19"/>
      <c r="D35" s="22">
        <v>50000.0</v>
      </c>
      <c r="E35" s="19">
        <v>2000.0</v>
      </c>
      <c r="F35" s="20">
        <v>0.01</v>
      </c>
      <c r="G35" s="19">
        <v>-60.0</v>
      </c>
      <c r="H35" s="19">
        <v>0.0</v>
      </c>
      <c r="I35" s="19">
        <v>0.0</v>
      </c>
      <c r="J35" s="19">
        <v>540.0</v>
      </c>
      <c r="K35" s="19">
        <v>0.0</v>
      </c>
      <c r="L35" s="19">
        <v>0.0</v>
      </c>
      <c r="M35" s="19">
        <v>0.0</v>
      </c>
      <c r="N35" s="19">
        <v>0.0</v>
      </c>
      <c r="O35" s="19"/>
      <c r="P35" s="19">
        <v>0.0</v>
      </c>
      <c r="Q35" s="23">
        <f>J35/E35</f>
        <v>0.27</v>
      </c>
      <c r="R35" s="19">
        <v>0.0</v>
      </c>
      <c r="S35" s="19">
        <v>0.0</v>
      </c>
      <c r="W35" s="21" t="s">
        <v>67</v>
      </c>
      <c r="X35" s="21" t="s">
        <v>33</v>
      </c>
    </row>
    <row r="36" ht="15.75" customHeight="1">
      <c r="A36" s="18" t="s">
        <v>35</v>
      </c>
      <c r="B36" s="19"/>
      <c r="C36" s="19"/>
      <c r="E36" s="19"/>
      <c r="F36" s="20"/>
      <c r="W36" s="21"/>
      <c r="X36" s="21"/>
    </row>
    <row r="37" ht="15.75" customHeight="1">
      <c r="A37" s="18" t="s">
        <v>68</v>
      </c>
      <c r="B37" s="19" t="s">
        <v>69</v>
      </c>
      <c r="C37" s="19"/>
      <c r="E37" s="19"/>
      <c r="F37" s="20"/>
      <c r="W37" s="21"/>
      <c r="X37" s="21"/>
    </row>
    <row r="38" ht="15.75" customHeight="1">
      <c r="A38" s="18" t="s">
        <v>70</v>
      </c>
      <c r="B38" s="19">
        <v>0.0</v>
      </c>
      <c r="C38" s="19"/>
      <c r="D38" s="22">
        <v>50000.0</v>
      </c>
      <c r="E38" s="19">
        <v>2500.0</v>
      </c>
      <c r="F38" s="20">
        <v>0.01</v>
      </c>
      <c r="G38" s="19">
        <v>-75.0</v>
      </c>
      <c r="H38" s="19">
        <v>0.0</v>
      </c>
      <c r="I38" s="19">
        <v>0.0</v>
      </c>
      <c r="J38" s="19">
        <v>0.0</v>
      </c>
      <c r="K38" s="19">
        <v>0.0</v>
      </c>
      <c r="L38" s="19">
        <v>0.0</v>
      </c>
      <c r="M38" s="19">
        <v>0.0</v>
      </c>
      <c r="N38" s="19">
        <v>0.0</v>
      </c>
      <c r="O38" s="19">
        <v>607.5</v>
      </c>
      <c r="P38" s="19">
        <v>0.0</v>
      </c>
      <c r="Q38" s="19">
        <v>0.0</v>
      </c>
      <c r="R38" s="19">
        <v>0.0</v>
      </c>
      <c r="S38" s="19">
        <v>0.0</v>
      </c>
      <c r="T38" s="19">
        <v>0.0</v>
      </c>
      <c r="U38" s="23">
        <f>O38/E38</f>
        <v>0.243</v>
      </c>
      <c r="W38" s="21"/>
      <c r="X38" s="21" t="s">
        <v>58</v>
      </c>
    </row>
    <row r="39" ht="15.75" customHeight="1">
      <c r="A39" s="18" t="s">
        <v>71</v>
      </c>
      <c r="B39" s="19">
        <v>0.0</v>
      </c>
      <c r="C39" s="19"/>
      <c r="D39" s="22">
        <v>200.0</v>
      </c>
      <c r="E39" s="19">
        <v>1500.0</v>
      </c>
      <c r="F39" s="20">
        <v>0.02</v>
      </c>
      <c r="G39" s="19">
        <v>-45.0</v>
      </c>
      <c r="H39" s="19">
        <v>230.0</v>
      </c>
      <c r="I39" s="19">
        <f>H39+G39</f>
        <v>185</v>
      </c>
      <c r="P39" s="23">
        <f>I39/E39</f>
        <v>0.1233333333</v>
      </c>
      <c r="W39" s="21"/>
      <c r="X39" s="21"/>
    </row>
    <row r="40" ht="15.75" customHeight="1">
      <c r="B40" s="19"/>
      <c r="C40" s="19"/>
      <c r="E40" s="19"/>
      <c r="F40" s="20"/>
      <c r="W40" s="21"/>
      <c r="X40" s="21"/>
    </row>
    <row r="41" ht="15.75" customHeight="1">
      <c r="B41" s="19"/>
      <c r="C41" s="19"/>
      <c r="E41" s="19"/>
      <c r="F41" s="20"/>
      <c r="W41" s="21"/>
      <c r="X41" s="21"/>
    </row>
    <row r="42" ht="15.75" customHeight="1">
      <c r="B42" s="19"/>
      <c r="C42" s="19"/>
      <c r="E42" s="19"/>
      <c r="F42" s="20"/>
      <c r="W42" s="21"/>
      <c r="X42" s="21"/>
    </row>
    <row r="43" ht="15.75" customHeight="1">
      <c r="B43" s="19"/>
      <c r="C43" s="19"/>
      <c r="E43" s="19"/>
      <c r="F43" s="20"/>
      <c r="W43" s="21"/>
      <c r="X43" s="21"/>
    </row>
    <row r="44" ht="15.75" customHeight="1">
      <c r="B44" s="19"/>
      <c r="C44" s="19"/>
      <c r="E44" s="19"/>
      <c r="F44" s="20"/>
      <c r="W44" s="21"/>
      <c r="X44" s="21"/>
    </row>
    <row r="45" ht="15.75" customHeight="1">
      <c r="B45" s="19"/>
      <c r="C45" s="19"/>
      <c r="E45" s="19"/>
      <c r="F45" s="20"/>
      <c r="W45" s="21"/>
      <c r="X45" s="21"/>
    </row>
    <row r="46" ht="15.75" customHeight="1">
      <c r="B46" s="19"/>
      <c r="C46" s="19"/>
      <c r="E46" s="19"/>
      <c r="F46" s="20"/>
      <c r="W46" s="21"/>
      <c r="X46" s="21"/>
    </row>
    <row r="47" ht="15.75" customHeight="1">
      <c r="B47" s="19"/>
      <c r="C47" s="19"/>
      <c r="E47" s="19"/>
      <c r="F47" s="20"/>
      <c r="W47" s="21"/>
      <c r="X47" s="21"/>
    </row>
    <row r="48" ht="15.75" customHeight="1">
      <c r="B48" s="19"/>
      <c r="C48" s="19"/>
      <c r="E48" s="19"/>
      <c r="F48" s="20"/>
      <c r="W48" s="21"/>
      <c r="X48" s="21"/>
    </row>
    <row r="49" ht="15.75" customHeight="1">
      <c r="B49" s="19"/>
      <c r="C49" s="19"/>
      <c r="E49" s="19"/>
      <c r="F49" s="20"/>
      <c r="W49" s="21"/>
      <c r="X49" s="21"/>
    </row>
    <row r="50" ht="15.75" customHeight="1">
      <c r="B50" s="19"/>
      <c r="C50" s="19"/>
      <c r="E50" s="19"/>
      <c r="F50" s="20"/>
      <c r="W50" s="21"/>
      <c r="X50" s="21"/>
    </row>
    <row r="51" ht="15.75" customHeight="1">
      <c r="B51" s="19"/>
      <c r="C51" s="19"/>
      <c r="E51" s="19"/>
      <c r="F51" s="20"/>
      <c r="W51" s="21"/>
      <c r="X51" s="21"/>
    </row>
    <row r="52" ht="15.75" customHeight="1">
      <c r="B52" s="19"/>
      <c r="C52" s="19"/>
      <c r="E52" s="19"/>
      <c r="F52" s="20"/>
      <c r="W52" s="21"/>
      <c r="X52" s="21"/>
    </row>
    <row r="53" ht="15.75" customHeight="1">
      <c r="B53" s="19"/>
      <c r="C53" s="19"/>
      <c r="E53" s="19"/>
      <c r="F53" s="20"/>
      <c r="W53" s="21"/>
      <c r="X53" s="21"/>
    </row>
    <row r="54" ht="15.75" customHeight="1">
      <c r="B54" s="19"/>
      <c r="C54" s="19"/>
      <c r="E54" s="19"/>
      <c r="F54" s="20"/>
      <c r="W54" s="21"/>
      <c r="X54" s="21"/>
    </row>
    <row r="55" ht="15.75" customHeight="1">
      <c r="B55" s="19"/>
      <c r="C55" s="19"/>
      <c r="E55" s="19"/>
      <c r="F55" s="20"/>
      <c r="W55" s="21"/>
      <c r="X55" s="21"/>
    </row>
    <row r="56" ht="15.75" customHeight="1">
      <c r="B56" s="19"/>
      <c r="C56" s="19"/>
      <c r="E56" s="19"/>
      <c r="F56" s="20"/>
      <c r="W56" s="21"/>
      <c r="X56" s="21"/>
    </row>
    <row r="57" ht="15.75" customHeight="1">
      <c r="B57" s="19"/>
      <c r="C57" s="19"/>
      <c r="E57" s="19"/>
      <c r="F57" s="20"/>
      <c r="W57" s="21"/>
      <c r="X57" s="21"/>
    </row>
    <row r="58" ht="15.75" customHeight="1">
      <c r="B58" s="19"/>
      <c r="C58" s="19"/>
      <c r="E58" s="19"/>
      <c r="F58" s="20"/>
      <c r="W58" s="21"/>
      <c r="X58" s="21"/>
    </row>
    <row r="59" ht="15.75" customHeight="1">
      <c r="B59" s="19"/>
      <c r="C59" s="19"/>
      <c r="E59" s="19"/>
      <c r="F59" s="20"/>
      <c r="W59" s="21"/>
      <c r="X59" s="21"/>
    </row>
    <row r="60" ht="15.75" customHeight="1">
      <c r="B60" s="19"/>
      <c r="C60" s="19"/>
      <c r="E60" s="19"/>
      <c r="F60" s="20"/>
      <c r="W60" s="21"/>
      <c r="X60" s="21"/>
    </row>
    <row r="61" ht="15.75" customHeight="1">
      <c r="B61" s="19"/>
      <c r="C61" s="19"/>
      <c r="E61" s="19"/>
      <c r="F61" s="20"/>
      <c r="W61" s="21"/>
      <c r="X61" s="21"/>
    </row>
    <row r="62" ht="15.75" customHeight="1">
      <c r="B62" s="19"/>
      <c r="C62" s="19"/>
      <c r="E62" s="19"/>
      <c r="F62" s="20"/>
      <c r="W62" s="21"/>
      <c r="X62" s="21"/>
    </row>
    <row r="63" ht="15.75" customHeight="1">
      <c r="B63" s="19"/>
      <c r="C63" s="19"/>
      <c r="E63" s="19"/>
      <c r="F63" s="20"/>
      <c r="W63" s="21"/>
      <c r="X63" s="21"/>
    </row>
    <row r="64" ht="15.75" customHeight="1">
      <c r="B64" s="19"/>
      <c r="C64" s="19"/>
      <c r="E64" s="19"/>
      <c r="F64" s="20"/>
      <c r="W64" s="21"/>
      <c r="X64" s="21"/>
    </row>
    <row r="65" ht="15.75" customHeight="1">
      <c r="B65" s="19"/>
      <c r="C65" s="19"/>
      <c r="E65" s="19"/>
      <c r="F65" s="20"/>
      <c r="W65" s="21"/>
      <c r="X65" s="21"/>
    </row>
    <row r="66" ht="15.75" customHeight="1">
      <c r="B66" s="19"/>
      <c r="C66" s="19"/>
      <c r="E66" s="19"/>
      <c r="F66" s="20"/>
      <c r="W66" s="21"/>
      <c r="X66" s="21"/>
    </row>
    <row r="67" ht="15.75" customHeight="1">
      <c r="B67" s="19"/>
      <c r="C67" s="19"/>
      <c r="E67" s="19"/>
      <c r="F67" s="20"/>
      <c r="W67" s="21"/>
      <c r="X67" s="21"/>
    </row>
    <row r="68" ht="15.75" customHeight="1">
      <c r="B68" s="19"/>
      <c r="C68" s="19"/>
      <c r="E68" s="19"/>
      <c r="F68" s="20"/>
      <c r="W68" s="21"/>
      <c r="X68" s="21"/>
    </row>
    <row r="69" ht="15.75" customHeight="1">
      <c r="B69" s="19"/>
      <c r="C69" s="19"/>
      <c r="E69" s="19"/>
      <c r="F69" s="20"/>
      <c r="W69" s="21"/>
      <c r="X69" s="21"/>
    </row>
    <row r="70" ht="15.75" customHeight="1">
      <c r="B70" s="19"/>
      <c r="C70" s="19"/>
      <c r="E70" s="19"/>
      <c r="F70" s="20"/>
      <c r="W70" s="21"/>
      <c r="X70" s="21"/>
    </row>
    <row r="71" ht="15.75" customHeight="1">
      <c r="B71" s="19"/>
      <c r="C71" s="19"/>
      <c r="E71" s="19"/>
      <c r="F71" s="20"/>
      <c r="W71" s="21"/>
      <c r="X71" s="21"/>
    </row>
    <row r="72" ht="15.75" customHeight="1">
      <c r="B72" s="19"/>
      <c r="C72" s="19"/>
      <c r="E72" s="19"/>
      <c r="F72" s="20"/>
      <c r="W72" s="21"/>
      <c r="X72" s="21"/>
    </row>
    <row r="73" ht="15.75" customHeight="1">
      <c r="B73" s="19"/>
      <c r="C73" s="19"/>
      <c r="E73" s="19"/>
      <c r="F73" s="20"/>
      <c r="W73" s="21"/>
      <c r="X73" s="21"/>
    </row>
    <row r="74" ht="15.75" customHeight="1">
      <c r="B74" s="19"/>
      <c r="C74" s="19"/>
      <c r="E74" s="19"/>
      <c r="F74" s="20"/>
      <c r="W74" s="21"/>
      <c r="X74" s="21"/>
    </row>
    <row r="75" ht="15.75" customHeight="1">
      <c r="B75" s="19"/>
      <c r="C75" s="19"/>
      <c r="E75" s="19"/>
      <c r="F75" s="20"/>
      <c r="W75" s="21"/>
      <c r="X75" s="21"/>
    </row>
    <row r="76" ht="15.75" customHeight="1">
      <c r="B76" s="19"/>
      <c r="C76" s="19"/>
      <c r="E76" s="19"/>
      <c r="F76" s="20"/>
      <c r="W76" s="21"/>
      <c r="X76" s="21"/>
    </row>
    <row r="77" ht="15.75" customHeight="1">
      <c r="B77" s="19"/>
      <c r="C77" s="19"/>
      <c r="E77" s="19"/>
      <c r="F77" s="20"/>
      <c r="W77" s="21"/>
      <c r="X77" s="21"/>
    </row>
    <row r="78" ht="15.75" customHeight="1">
      <c r="B78" s="19"/>
      <c r="C78" s="19"/>
      <c r="E78" s="19"/>
      <c r="F78" s="20"/>
      <c r="W78" s="21"/>
      <c r="X78" s="21"/>
    </row>
    <row r="79" ht="15.75" customHeight="1">
      <c r="B79" s="19"/>
      <c r="C79" s="19"/>
      <c r="E79" s="19"/>
      <c r="F79" s="20"/>
      <c r="W79" s="21"/>
      <c r="X79" s="21"/>
    </row>
    <row r="80" ht="15.75" customHeight="1">
      <c r="B80" s="19"/>
      <c r="C80" s="19"/>
      <c r="E80" s="19"/>
      <c r="F80" s="20"/>
      <c r="W80" s="21"/>
      <c r="X80" s="21"/>
    </row>
    <row r="81" ht="15.75" customHeight="1">
      <c r="B81" s="19"/>
      <c r="C81" s="19"/>
      <c r="E81" s="19"/>
      <c r="F81" s="20"/>
      <c r="W81" s="21"/>
      <c r="X81" s="21"/>
    </row>
    <row r="82" ht="15.75" customHeight="1">
      <c r="B82" s="19"/>
      <c r="C82" s="19"/>
      <c r="E82" s="19"/>
      <c r="F82" s="20"/>
      <c r="W82" s="21"/>
      <c r="X82" s="21"/>
    </row>
    <row r="83" ht="15.75" customHeight="1">
      <c r="B83" s="19"/>
      <c r="C83" s="19"/>
      <c r="E83" s="19"/>
      <c r="F83" s="20"/>
      <c r="W83" s="21"/>
      <c r="X83" s="21"/>
    </row>
    <row r="84" ht="15.75" customHeight="1">
      <c r="B84" s="19"/>
      <c r="C84" s="19"/>
      <c r="E84" s="19"/>
      <c r="F84" s="20"/>
      <c r="W84" s="21"/>
      <c r="X84" s="21"/>
    </row>
    <row r="85" ht="15.75" customHeight="1">
      <c r="B85" s="19"/>
      <c r="C85" s="19"/>
      <c r="E85" s="19"/>
      <c r="F85" s="20"/>
      <c r="W85" s="21"/>
      <c r="X85" s="21"/>
    </row>
    <row r="86" ht="15.75" customHeight="1">
      <c r="B86" s="19"/>
      <c r="C86" s="19"/>
      <c r="E86" s="19"/>
      <c r="F86" s="20"/>
      <c r="W86" s="21"/>
      <c r="X86" s="21"/>
    </row>
    <row r="87" ht="15.75" customHeight="1">
      <c r="B87" s="19"/>
      <c r="C87" s="19"/>
      <c r="E87" s="19"/>
      <c r="F87" s="20"/>
      <c r="W87" s="21"/>
      <c r="X87" s="21"/>
    </row>
    <row r="88" ht="15.75" customHeight="1">
      <c r="B88" s="19"/>
      <c r="C88" s="19"/>
      <c r="E88" s="19"/>
      <c r="F88" s="20"/>
      <c r="W88" s="21"/>
      <c r="X88" s="21"/>
    </row>
    <row r="89" ht="15.75" customHeight="1">
      <c r="B89" s="19"/>
      <c r="C89" s="19"/>
      <c r="E89" s="19"/>
      <c r="F89" s="20"/>
      <c r="W89" s="21"/>
      <c r="X89" s="21"/>
    </row>
    <row r="90" ht="15.75" customHeight="1">
      <c r="B90" s="19"/>
      <c r="C90" s="19"/>
      <c r="E90" s="19"/>
      <c r="F90" s="20"/>
      <c r="W90" s="21"/>
      <c r="X90" s="21"/>
    </row>
    <row r="91" ht="15.75" customHeight="1">
      <c r="B91" s="19"/>
      <c r="C91" s="19"/>
      <c r="E91" s="19"/>
      <c r="F91" s="20"/>
      <c r="W91" s="21"/>
      <c r="X91" s="21"/>
    </row>
    <row r="92" ht="15.75" customHeight="1">
      <c r="B92" s="19"/>
      <c r="C92" s="19"/>
      <c r="E92" s="19"/>
      <c r="F92" s="20"/>
      <c r="W92" s="21"/>
      <c r="X92" s="21"/>
    </row>
    <row r="93" ht="15.75" customHeight="1">
      <c r="B93" s="19"/>
      <c r="C93" s="19"/>
      <c r="E93" s="19"/>
      <c r="F93" s="20"/>
      <c r="W93" s="21"/>
      <c r="X93" s="21"/>
    </row>
    <row r="94" ht="15.75" customHeight="1">
      <c r="B94" s="19"/>
      <c r="C94" s="19"/>
      <c r="E94" s="19"/>
      <c r="F94" s="20"/>
      <c r="W94" s="21"/>
      <c r="X94" s="21"/>
    </row>
    <row r="95" ht="15.75" customHeight="1">
      <c r="B95" s="19"/>
      <c r="C95" s="19"/>
      <c r="E95" s="19"/>
      <c r="F95" s="20"/>
      <c r="W95" s="21"/>
      <c r="X95" s="21"/>
    </row>
    <row r="96" ht="15.75" customHeight="1">
      <c r="B96" s="19"/>
      <c r="C96" s="19"/>
      <c r="E96" s="19"/>
      <c r="F96" s="20"/>
      <c r="W96" s="21"/>
      <c r="X96" s="21"/>
    </row>
    <row r="97" ht="15.75" customHeight="1">
      <c r="B97" s="19"/>
      <c r="C97" s="19"/>
      <c r="E97" s="19"/>
      <c r="F97" s="20"/>
      <c r="W97" s="21"/>
      <c r="X97" s="21"/>
    </row>
    <row r="98" ht="15.75" customHeight="1">
      <c r="B98" s="19"/>
      <c r="C98" s="19"/>
      <c r="E98" s="19"/>
      <c r="F98" s="20"/>
      <c r="W98" s="21"/>
      <c r="X98" s="21"/>
    </row>
    <row r="99" ht="15.75" customHeight="1">
      <c r="B99" s="19"/>
      <c r="C99" s="19"/>
      <c r="E99" s="19"/>
      <c r="F99" s="20"/>
      <c r="W99" s="21"/>
      <c r="X99" s="21"/>
    </row>
    <row r="100" ht="15.75" customHeight="1">
      <c r="B100" s="19"/>
      <c r="C100" s="19"/>
      <c r="E100" s="19"/>
      <c r="F100" s="20"/>
      <c r="W100" s="21"/>
      <c r="X100" s="21"/>
    </row>
    <row r="101" ht="15.75" customHeight="1">
      <c r="B101" s="19"/>
      <c r="C101" s="19"/>
      <c r="E101" s="19"/>
      <c r="F101" s="20"/>
      <c r="W101" s="21"/>
      <c r="X101" s="21"/>
    </row>
    <row r="102" ht="15.75" customHeight="1">
      <c r="B102" s="19"/>
      <c r="C102" s="19"/>
      <c r="E102" s="19"/>
      <c r="F102" s="20"/>
      <c r="W102" s="21"/>
      <c r="X102" s="21"/>
    </row>
    <row r="103" ht="15.75" customHeight="1">
      <c r="B103" s="19"/>
      <c r="C103" s="19"/>
      <c r="E103" s="19"/>
      <c r="F103" s="20"/>
      <c r="W103" s="21"/>
      <c r="X103" s="21"/>
    </row>
    <row r="104" ht="15.75" customHeight="1">
      <c r="B104" s="19"/>
      <c r="C104" s="19"/>
      <c r="E104" s="19"/>
      <c r="F104" s="20"/>
      <c r="W104" s="21"/>
      <c r="X104" s="21"/>
    </row>
    <row r="105" ht="15.75" customHeight="1">
      <c r="B105" s="19"/>
      <c r="C105" s="19"/>
      <c r="E105" s="19"/>
      <c r="F105" s="20"/>
      <c r="W105" s="21"/>
      <c r="X105" s="21"/>
    </row>
    <row r="106" ht="15.75" customHeight="1">
      <c r="B106" s="19"/>
      <c r="C106" s="19"/>
      <c r="E106" s="19"/>
      <c r="F106" s="20"/>
      <c r="W106" s="21"/>
      <c r="X106" s="21"/>
    </row>
    <row r="107" ht="15.75" customHeight="1">
      <c r="B107" s="19"/>
      <c r="C107" s="19"/>
      <c r="E107" s="19"/>
      <c r="F107" s="20"/>
      <c r="W107" s="21"/>
      <c r="X107" s="21"/>
    </row>
    <row r="108" ht="15.75" customHeight="1">
      <c r="B108" s="19"/>
      <c r="C108" s="19"/>
      <c r="E108" s="19"/>
      <c r="F108" s="20"/>
      <c r="W108" s="21"/>
      <c r="X108" s="21"/>
    </row>
    <row r="109" ht="15.75" customHeight="1">
      <c r="B109" s="19"/>
      <c r="C109" s="19"/>
      <c r="E109" s="19"/>
      <c r="F109" s="20"/>
      <c r="W109" s="21"/>
      <c r="X109" s="21"/>
    </row>
    <row r="110" ht="15.75" customHeight="1">
      <c r="B110" s="19"/>
      <c r="C110" s="19"/>
      <c r="E110" s="19"/>
      <c r="F110" s="20"/>
      <c r="W110" s="21"/>
      <c r="X110" s="21"/>
    </row>
    <row r="111" ht="15.75" customHeight="1">
      <c r="B111" s="19"/>
      <c r="C111" s="19"/>
      <c r="E111" s="19"/>
      <c r="F111" s="20"/>
      <c r="W111" s="21"/>
      <c r="X111" s="21"/>
    </row>
    <row r="112" ht="15.75" customHeight="1">
      <c r="B112" s="19"/>
      <c r="C112" s="19"/>
      <c r="E112" s="19"/>
      <c r="F112" s="20"/>
      <c r="W112" s="21"/>
      <c r="X112" s="21"/>
    </row>
    <row r="113" ht="15.75" customHeight="1">
      <c r="B113" s="19"/>
      <c r="C113" s="19"/>
      <c r="E113" s="19"/>
      <c r="F113" s="20"/>
      <c r="W113" s="21"/>
      <c r="X113" s="21"/>
    </row>
    <row r="114" ht="15.75" customHeight="1">
      <c r="B114" s="19"/>
      <c r="C114" s="19"/>
      <c r="E114" s="19"/>
      <c r="F114" s="20"/>
      <c r="W114" s="21"/>
      <c r="X114" s="21"/>
    </row>
    <row r="115" ht="15.75" customHeight="1">
      <c r="B115" s="19"/>
      <c r="C115" s="19"/>
      <c r="E115" s="19"/>
      <c r="F115" s="20"/>
      <c r="W115" s="21"/>
      <c r="X115" s="21"/>
    </row>
    <row r="116" ht="15.75" customHeight="1">
      <c r="B116" s="19"/>
      <c r="C116" s="19"/>
      <c r="E116" s="19"/>
      <c r="F116" s="20"/>
      <c r="W116" s="21"/>
      <c r="X116" s="21"/>
    </row>
    <row r="117" ht="15.75" customHeight="1">
      <c r="B117" s="19"/>
      <c r="C117" s="19"/>
      <c r="E117" s="19"/>
      <c r="F117" s="20"/>
      <c r="W117" s="21"/>
      <c r="X117" s="21"/>
    </row>
    <row r="118" ht="15.75" customHeight="1">
      <c r="B118" s="19"/>
      <c r="C118" s="19"/>
      <c r="E118" s="19"/>
      <c r="F118" s="20"/>
      <c r="W118" s="21"/>
      <c r="X118" s="21"/>
    </row>
    <row r="119" ht="15.75" customHeight="1">
      <c r="B119" s="19"/>
      <c r="C119" s="19"/>
      <c r="E119" s="19"/>
      <c r="F119" s="20"/>
      <c r="W119" s="21"/>
      <c r="X119" s="21"/>
    </row>
    <row r="120" ht="15.75" customHeight="1">
      <c r="B120" s="19"/>
      <c r="C120" s="19"/>
      <c r="E120" s="19"/>
      <c r="F120" s="20"/>
      <c r="W120" s="21"/>
      <c r="X120" s="21"/>
    </row>
    <row r="121" ht="15.75" customHeight="1">
      <c r="B121" s="19"/>
      <c r="C121" s="19"/>
      <c r="E121" s="19"/>
      <c r="F121" s="20"/>
      <c r="W121" s="21"/>
      <c r="X121" s="21"/>
    </row>
    <row r="122" ht="15.75" customHeight="1">
      <c r="B122" s="19"/>
      <c r="C122" s="19"/>
      <c r="E122" s="19"/>
      <c r="F122" s="20"/>
      <c r="W122" s="21"/>
      <c r="X122" s="21"/>
    </row>
    <row r="123" ht="15.75" customHeight="1">
      <c r="B123" s="19"/>
      <c r="C123" s="19"/>
      <c r="E123" s="19"/>
      <c r="F123" s="20"/>
      <c r="W123" s="21"/>
      <c r="X123" s="21"/>
    </row>
    <row r="124" ht="15.75" customHeight="1">
      <c r="B124" s="19"/>
      <c r="C124" s="19"/>
      <c r="E124" s="19"/>
      <c r="F124" s="20"/>
      <c r="W124" s="21"/>
      <c r="X124" s="21"/>
    </row>
    <row r="125" ht="15.75" customHeight="1">
      <c r="B125" s="19"/>
      <c r="C125" s="19"/>
      <c r="E125" s="19"/>
      <c r="F125" s="20"/>
      <c r="W125" s="21"/>
      <c r="X125" s="21"/>
    </row>
    <row r="126" ht="15.75" customHeight="1">
      <c r="B126" s="19"/>
      <c r="C126" s="19"/>
      <c r="E126" s="19"/>
      <c r="F126" s="20"/>
      <c r="W126" s="21"/>
      <c r="X126" s="21"/>
    </row>
    <row r="127" ht="15.75" customHeight="1">
      <c r="B127" s="19"/>
      <c r="C127" s="19"/>
      <c r="E127" s="19"/>
      <c r="F127" s="20"/>
      <c r="W127" s="21"/>
      <c r="X127" s="21"/>
    </row>
    <row r="128" ht="15.75" customHeight="1">
      <c r="B128" s="19"/>
      <c r="C128" s="19"/>
      <c r="E128" s="19"/>
      <c r="F128" s="20"/>
      <c r="W128" s="21"/>
      <c r="X128" s="21"/>
    </row>
    <row r="129" ht="15.75" customHeight="1">
      <c r="B129" s="19"/>
      <c r="C129" s="19"/>
      <c r="E129" s="19"/>
      <c r="F129" s="20"/>
      <c r="W129" s="21"/>
      <c r="X129" s="21"/>
    </row>
    <row r="130" ht="15.75" customHeight="1">
      <c r="B130" s="19"/>
      <c r="C130" s="19"/>
      <c r="E130" s="19"/>
      <c r="F130" s="20"/>
      <c r="W130" s="21"/>
      <c r="X130" s="21"/>
    </row>
    <row r="131" ht="15.75" customHeight="1">
      <c r="B131" s="19"/>
      <c r="C131" s="19"/>
      <c r="E131" s="19"/>
      <c r="F131" s="20"/>
      <c r="W131" s="21"/>
      <c r="X131" s="21"/>
    </row>
    <row r="132" ht="15.75" customHeight="1">
      <c r="B132" s="19"/>
      <c r="C132" s="19"/>
      <c r="E132" s="19"/>
      <c r="F132" s="20"/>
      <c r="W132" s="21"/>
      <c r="X132" s="21"/>
    </row>
    <row r="133" ht="15.75" customHeight="1">
      <c r="B133" s="19"/>
      <c r="C133" s="19"/>
      <c r="E133" s="19"/>
      <c r="F133" s="20"/>
      <c r="W133" s="21"/>
      <c r="X133" s="21"/>
    </row>
    <row r="134" ht="15.75" customHeight="1">
      <c r="B134" s="19"/>
      <c r="C134" s="19"/>
      <c r="E134" s="19"/>
      <c r="F134" s="20"/>
      <c r="W134" s="21"/>
      <c r="X134" s="21"/>
    </row>
    <row r="135" ht="15.75" customHeight="1">
      <c r="B135" s="19"/>
      <c r="C135" s="19"/>
      <c r="E135" s="19"/>
      <c r="F135" s="20"/>
      <c r="W135" s="21"/>
      <c r="X135" s="21"/>
    </row>
    <row r="136" ht="15.75" customHeight="1">
      <c r="B136" s="19"/>
      <c r="C136" s="19"/>
      <c r="E136" s="19"/>
      <c r="F136" s="20"/>
      <c r="W136" s="21"/>
      <c r="X136" s="21"/>
    </row>
    <row r="137" ht="15.75" customHeight="1">
      <c r="B137" s="19"/>
      <c r="C137" s="19"/>
      <c r="E137" s="19"/>
      <c r="F137" s="20"/>
      <c r="W137" s="21"/>
      <c r="X137" s="21"/>
    </row>
    <row r="138" ht="15.75" customHeight="1">
      <c r="B138" s="19"/>
      <c r="C138" s="19"/>
      <c r="E138" s="19"/>
      <c r="F138" s="20"/>
      <c r="W138" s="21"/>
      <c r="X138" s="21"/>
    </row>
    <row r="139" ht="15.75" customHeight="1">
      <c r="B139" s="19"/>
      <c r="C139" s="19"/>
      <c r="E139" s="19"/>
      <c r="F139" s="20"/>
      <c r="W139" s="21"/>
      <c r="X139" s="21"/>
    </row>
    <row r="140" ht="15.75" customHeight="1">
      <c r="B140" s="19"/>
      <c r="C140" s="19"/>
      <c r="E140" s="19"/>
      <c r="F140" s="20"/>
      <c r="W140" s="21"/>
      <c r="X140" s="21"/>
    </row>
    <row r="141" ht="15.75" customHeight="1">
      <c r="B141" s="19"/>
      <c r="C141" s="19"/>
      <c r="E141" s="19"/>
      <c r="F141" s="20"/>
      <c r="W141" s="21"/>
      <c r="X141" s="21"/>
    </row>
    <row r="142" ht="15.75" customHeight="1">
      <c r="B142" s="19"/>
      <c r="C142" s="19"/>
      <c r="E142" s="19"/>
      <c r="F142" s="20"/>
      <c r="W142" s="21"/>
      <c r="X142" s="21"/>
    </row>
    <row r="143" ht="15.75" customHeight="1">
      <c r="B143" s="19"/>
      <c r="C143" s="19"/>
      <c r="E143" s="19"/>
      <c r="F143" s="20"/>
      <c r="W143" s="21"/>
      <c r="X143" s="21"/>
    </row>
    <row r="144" ht="15.75" customHeight="1">
      <c r="B144" s="19"/>
      <c r="C144" s="19"/>
      <c r="E144" s="19"/>
      <c r="F144" s="20"/>
      <c r="W144" s="21"/>
      <c r="X144" s="21"/>
    </row>
    <row r="145" ht="15.75" customHeight="1">
      <c r="B145" s="19"/>
      <c r="C145" s="19"/>
      <c r="E145" s="19"/>
      <c r="F145" s="20"/>
      <c r="W145" s="21"/>
      <c r="X145" s="21"/>
    </row>
    <row r="146" ht="15.75" customHeight="1">
      <c r="B146" s="19"/>
      <c r="C146" s="19"/>
      <c r="E146" s="19"/>
      <c r="F146" s="20"/>
      <c r="W146" s="21"/>
      <c r="X146" s="21"/>
    </row>
    <row r="147" ht="15.75" customHeight="1">
      <c r="B147" s="19"/>
      <c r="C147" s="19"/>
      <c r="E147" s="19"/>
      <c r="F147" s="20"/>
      <c r="W147" s="21"/>
      <c r="X147" s="21"/>
    </row>
    <row r="148" ht="15.75" customHeight="1">
      <c r="B148" s="19"/>
      <c r="C148" s="19"/>
      <c r="E148" s="19"/>
      <c r="F148" s="20"/>
      <c r="W148" s="21"/>
      <c r="X148" s="21"/>
    </row>
    <row r="149" ht="15.75" customHeight="1">
      <c r="B149" s="19"/>
      <c r="C149" s="19"/>
      <c r="E149" s="19"/>
      <c r="F149" s="20"/>
      <c r="W149" s="21"/>
      <c r="X149" s="21"/>
    </row>
    <row r="150" ht="15.75" customHeight="1">
      <c r="B150" s="19"/>
      <c r="C150" s="19"/>
      <c r="E150" s="19"/>
      <c r="F150" s="20"/>
      <c r="W150" s="21"/>
      <c r="X150" s="21"/>
    </row>
    <row r="151" ht="15.75" customHeight="1">
      <c r="B151" s="19"/>
      <c r="C151" s="19"/>
      <c r="E151" s="19"/>
      <c r="F151" s="20"/>
      <c r="W151" s="21"/>
      <c r="X151" s="21"/>
    </row>
    <row r="152" ht="15.75" customHeight="1">
      <c r="B152" s="19"/>
      <c r="C152" s="19"/>
      <c r="E152" s="19"/>
      <c r="F152" s="20"/>
      <c r="W152" s="21"/>
      <c r="X152" s="21"/>
    </row>
    <row r="153" ht="15.75" customHeight="1">
      <c r="B153" s="19"/>
      <c r="C153" s="19"/>
      <c r="E153" s="19"/>
      <c r="F153" s="20"/>
      <c r="W153" s="21"/>
      <c r="X153" s="21"/>
    </row>
    <row r="154" ht="15.75" customHeight="1">
      <c r="B154" s="19"/>
      <c r="C154" s="19"/>
      <c r="E154" s="19"/>
      <c r="F154" s="20"/>
      <c r="W154" s="21"/>
      <c r="X154" s="21"/>
    </row>
    <row r="155" ht="15.75" customHeight="1">
      <c r="B155" s="19"/>
      <c r="C155" s="19"/>
      <c r="E155" s="19"/>
      <c r="F155" s="20"/>
      <c r="W155" s="21"/>
      <c r="X155" s="21"/>
    </row>
    <row r="156" ht="15.75" customHeight="1">
      <c r="B156" s="19"/>
      <c r="C156" s="19"/>
      <c r="E156" s="19"/>
      <c r="F156" s="20"/>
      <c r="W156" s="21"/>
      <c r="X156" s="21"/>
    </row>
    <row r="157" ht="15.75" customHeight="1">
      <c r="B157" s="19"/>
      <c r="C157" s="19"/>
      <c r="E157" s="19"/>
      <c r="F157" s="20"/>
      <c r="W157" s="21"/>
      <c r="X157" s="21"/>
    </row>
    <row r="158" ht="15.75" customHeight="1">
      <c r="B158" s="19"/>
      <c r="C158" s="19"/>
      <c r="E158" s="19"/>
      <c r="F158" s="20"/>
      <c r="W158" s="21"/>
      <c r="X158" s="21"/>
    </row>
    <row r="159" ht="15.75" customHeight="1">
      <c r="B159" s="19"/>
      <c r="C159" s="19"/>
      <c r="E159" s="19"/>
      <c r="F159" s="20"/>
      <c r="W159" s="21"/>
      <c r="X159" s="21"/>
    </row>
    <row r="160" ht="15.75" customHeight="1">
      <c r="B160" s="19"/>
      <c r="C160" s="19"/>
      <c r="E160" s="19"/>
      <c r="F160" s="20"/>
      <c r="W160" s="21"/>
      <c r="X160" s="21"/>
    </row>
    <row r="161" ht="15.75" customHeight="1">
      <c r="B161" s="19"/>
      <c r="C161" s="19"/>
      <c r="E161" s="19"/>
      <c r="F161" s="20"/>
      <c r="W161" s="21"/>
      <c r="X161" s="21"/>
    </row>
    <row r="162" ht="15.75" customHeight="1">
      <c r="B162" s="19"/>
      <c r="C162" s="19"/>
      <c r="E162" s="19"/>
      <c r="F162" s="20"/>
      <c r="W162" s="21"/>
      <c r="X162" s="21"/>
    </row>
    <row r="163" ht="15.75" customHeight="1">
      <c r="B163" s="19"/>
      <c r="C163" s="19"/>
      <c r="E163" s="19"/>
      <c r="F163" s="20"/>
      <c r="W163" s="21"/>
      <c r="X163" s="21"/>
    </row>
    <row r="164" ht="15.75" customHeight="1">
      <c r="B164" s="19"/>
      <c r="C164" s="19"/>
      <c r="E164" s="19"/>
      <c r="F164" s="20"/>
      <c r="W164" s="21"/>
      <c r="X164" s="21"/>
    </row>
    <row r="165" ht="15.75" customHeight="1">
      <c r="B165" s="19"/>
      <c r="C165" s="19"/>
      <c r="E165" s="19"/>
      <c r="F165" s="20"/>
      <c r="W165" s="21"/>
      <c r="X165" s="21"/>
    </row>
    <row r="166" ht="15.75" customHeight="1">
      <c r="B166" s="19"/>
      <c r="C166" s="19"/>
      <c r="E166" s="19"/>
      <c r="F166" s="20"/>
      <c r="W166" s="21"/>
      <c r="X166" s="21"/>
    </row>
    <row r="167" ht="15.75" customHeight="1">
      <c r="B167" s="19"/>
      <c r="C167" s="19"/>
      <c r="E167" s="19"/>
      <c r="F167" s="20"/>
      <c r="W167" s="21"/>
      <c r="X167" s="21"/>
    </row>
    <row r="168" ht="15.75" customHeight="1">
      <c r="B168" s="19"/>
      <c r="C168" s="19"/>
      <c r="E168" s="19"/>
      <c r="F168" s="20"/>
      <c r="W168" s="21"/>
      <c r="X168" s="21"/>
    </row>
    <row r="169" ht="15.75" customHeight="1">
      <c r="B169" s="19"/>
      <c r="C169" s="19"/>
      <c r="E169" s="19"/>
      <c r="F169" s="20"/>
      <c r="W169" s="21"/>
      <c r="X169" s="21"/>
    </row>
    <row r="170" ht="15.75" customHeight="1">
      <c r="B170" s="19"/>
      <c r="C170" s="19"/>
      <c r="E170" s="19"/>
      <c r="F170" s="20"/>
      <c r="W170" s="21"/>
      <c r="X170" s="21"/>
    </row>
    <row r="171" ht="15.75" customHeight="1">
      <c r="B171" s="19"/>
      <c r="C171" s="19"/>
      <c r="E171" s="19"/>
      <c r="F171" s="20"/>
      <c r="W171" s="21"/>
      <c r="X171" s="21"/>
    </row>
    <row r="172" ht="15.75" customHeight="1">
      <c r="B172" s="19"/>
      <c r="C172" s="19"/>
      <c r="E172" s="19"/>
      <c r="F172" s="20"/>
      <c r="W172" s="21"/>
      <c r="X172" s="21"/>
    </row>
    <row r="173" ht="15.75" customHeight="1">
      <c r="B173" s="19"/>
      <c r="C173" s="19"/>
      <c r="E173" s="19"/>
      <c r="F173" s="20"/>
      <c r="W173" s="21"/>
      <c r="X173" s="21"/>
    </row>
    <row r="174" ht="15.75" customHeight="1">
      <c r="B174" s="19"/>
      <c r="C174" s="19"/>
      <c r="E174" s="19"/>
      <c r="F174" s="20"/>
      <c r="W174" s="21"/>
      <c r="X174" s="21"/>
    </row>
    <row r="175" ht="15.75" customHeight="1">
      <c r="B175" s="19"/>
      <c r="C175" s="19"/>
      <c r="E175" s="19"/>
      <c r="F175" s="20"/>
      <c r="W175" s="21"/>
      <c r="X175" s="21"/>
    </row>
    <row r="176" ht="15.75" customHeight="1">
      <c r="B176" s="19"/>
      <c r="C176" s="19"/>
      <c r="E176" s="19"/>
      <c r="F176" s="20"/>
      <c r="W176" s="21"/>
      <c r="X176" s="21"/>
    </row>
    <row r="177" ht="15.75" customHeight="1">
      <c r="B177" s="19"/>
      <c r="C177" s="19"/>
      <c r="E177" s="19"/>
      <c r="F177" s="20"/>
      <c r="W177" s="21"/>
      <c r="X177" s="21"/>
    </row>
    <row r="178" ht="15.75" customHeight="1">
      <c r="B178" s="19"/>
      <c r="C178" s="19"/>
      <c r="E178" s="19"/>
      <c r="F178" s="20"/>
      <c r="W178" s="21"/>
      <c r="X178" s="21"/>
    </row>
    <row r="179" ht="15.75" customHeight="1">
      <c r="B179" s="19"/>
      <c r="C179" s="19"/>
      <c r="E179" s="19"/>
      <c r="F179" s="20"/>
      <c r="W179" s="21"/>
      <c r="X179" s="21"/>
    </row>
    <row r="180" ht="15.75" customHeight="1">
      <c r="B180" s="19"/>
      <c r="C180" s="19"/>
      <c r="E180" s="19"/>
      <c r="F180" s="20"/>
      <c r="W180" s="21"/>
      <c r="X180" s="21"/>
    </row>
    <row r="181" ht="15.75" customHeight="1">
      <c r="B181" s="19"/>
      <c r="C181" s="19"/>
      <c r="E181" s="19"/>
      <c r="F181" s="20"/>
      <c r="W181" s="21"/>
      <c r="X181" s="21"/>
    </row>
    <row r="182" ht="15.75" customHeight="1">
      <c r="B182" s="19"/>
      <c r="C182" s="19"/>
      <c r="E182" s="19"/>
      <c r="F182" s="20"/>
      <c r="W182" s="21"/>
      <c r="X182" s="21"/>
    </row>
    <row r="183" ht="15.75" customHeight="1">
      <c r="B183" s="19"/>
      <c r="C183" s="19"/>
      <c r="E183" s="19"/>
      <c r="F183" s="20"/>
      <c r="W183" s="21"/>
      <c r="X183" s="21"/>
    </row>
    <row r="184" ht="15.75" customHeight="1">
      <c r="B184" s="19"/>
      <c r="C184" s="19"/>
      <c r="E184" s="19"/>
      <c r="F184" s="20"/>
      <c r="W184" s="21"/>
      <c r="X184" s="21"/>
    </row>
    <row r="185" ht="15.75" customHeight="1">
      <c r="B185" s="19"/>
      <c r="C185" s="19"/>
      <c r="E185" s="19"/>
      <c r="F185" s="20"/>
      <c r="W185" s="21"/>
      <c r="X185" s="21"/>
    </row>
    <row r="186" ht="15.75" customHeight="1">
      <c r="B186" s="19"/>
      <c r="C186" s="19"/>
      <c r="E186" s="19"/>
      <c r="F186" s="20"/>
      <c r="W186" s="21"/>
      <c r="X186" s="21"/>
    </row>
    <row r="187" ht="15.75" customHeight="1">
      <c r="B187" s="19"/>
      <c r="C187" s="19"/>
      <c r="E187" s="19"/>
      <c r="F187" s="20"/>
      <c r="W187" s="21"/>
      <c r="X187" s="21"/>
    </row>
    <row r="188" ht="15.75" customHeight="1">
      <c r="B188" s="19"/>
      <c r="C188" s="19"/>
      <c r="E188" s="19"/>
      <c r="F188" s="20"/>
      <c r="W188" s="21"/>
      <c r="X188" s="21"/>
    </row>
    <row r="189" ht="15.75" customHeight="1">
      <c r="B189" s="19"/>
      <c r="C189" s="19"/>
      <c r="E189" s="19"/>
      <c r="F189" s="20"/>
      <c r="W189" s="21"/>
      <c r="X189" s="21"/>
    </row>
    <row r="190" ht="15.75" customHeight="1">
      <c r="B190" s="19"/>
      <c r="C190" s="19"/>
      <c r="E190" s="19"/>
      <c r="F190" s="20"/>
      <c r="W190" s="21"/>
      <c r="X190" s="21"/>
    </row>
    <row r="191" ht="15.75" customHeight="1">
      <c r="B191" s="19"/>
      <c r="C191" s="19"/>
      <c r="E191" s="19"/>
      <c r="F191" s="20"/>
      <c r="W191" s="21"/>
      <c r="X191" s="21"/>
    </row>
    <row r="192" ht="15.75" customHeight="1">
      <c r="B192" s="19"/>
      <c r="C192" s="19"/>
      <c r="E192" s="19"/>
      <c r="F192" s="20"/>
      <c r="W192" s="21"/>
      <c r="X192" s="21"/>
    </row>
    <row r="193" ht="15.75" customHeight="1">
      <c r="B193" s="19"/>
      <c r="C193" s="19"/>
      <c r="E193" s="19"/>
      <c r="F193" s="20"/>
      <c r="W193" s="21"/>
      <c r="X193" s="21"/>
    </row>
    <row r="194" ht="15.75" customHeight="1">
      <c r="B194" s="19"/>
      <c r="C194" s="19"/>
      <c r="E194" s="19"/>
      <c r="F194" s="20"/>
      <c r="W194" s="21"/>
      <c r="X194" s="21"/>
    </row>
    <row r="195" ht="15.75" customHeight="1">
      <c r="B195" s="19"/>
      <c r="C195" s="19"/>
      <c r="E195" s="19"/>
      <c r="F195" s="20"/>
      <c r="W195" s="21"/>
      <c r="X195" s="21"/>
    </row>
    <row r="196" ht="15.75" customHeight="1">
      <c r="B196" s="19"/>
      <c r="C196" s="19"/>
      <c r="E196" s="19"/>
      <c r="F196" s="20"/>
      <c r="W196" s="21"/>
      <c r="X196" s="21"/>
    </row>
    <row r="197" ht="15.75" customHeight="1">
      <c r="B197" s="19"/>
      <c r="C197" s="19"/>
      <c r="E197" s="19"/>
      <c r="F197" s="20"/>
      <c r="W197" s="21"/>
      <c r="X197" s="21"/>
    </row>
    <row r="198" ht="15.75" customHeight="1">
      <c r="B198" s="19"/>
      <c r="C198" s="19"/>
      <c r="E198" s="19"/>
      <c r="F198" s="20"/>
      <c r="W198" s="21"/>
      <c r="X198" s="21"/>
    </row>
    <row r="199" ht="15.75" customHeight="1">
      <c r="B199" s="19"/>
      <c r="C199" s="19"/>
      <c r="E199" s="19"/>
      <c r="F199" s="20"/>
      <c r="W199" s="21"/>
      <c r="X199" s="21"/>
    </row>
    <row r="200" ht="15.75" customHeight="1">
      <c r="B200" s="19"/>
      <c r="C200" s="19"/>
      <c r="E200" s="19"/>
      <c r="F200" s="20"/>
      <c r="W200" s="21"/>
      <c r="X200" s="21"/>
    </row>
    <row r="201" ht="15.75" customHeight="1">
      <c r="B201" s="19"/>
      <c r="C201" s="19"/>
      <c r="E201" s="19"/>
      <c r="F201" s="20"/>
      <c r="W201" s="21"/>
      <c r="X201" s="21"/>
    </row>
    <row r="202" ht="15.75" customHeight="1">
      <c r="B202" s="19"/>
      <c r="C202" s="19"/>
      <c r="E202" s="19"/>
      <c r="F202" s="20"/>
      <c r="W202" s="21"/>
      <c r="X202" s="21"/>
    </row>
    <row r="203" ht="15.75" customHeight="1">
      <c r="B203" s="19"/>
      <c r="C203" s="19"/>
      <c r="E203" s="19"/>
      <c r="F203" s="20"/>
      <c r="W203" s="21"/>
      <c r="X203" s="21"/>
    </row>
    <row r="204" ht="15.75" customHeight="1">
      <c r="B204" s="19"/>
      <c r="C204" s="19"/>
      <c r="E204" s="19"/>
      <c r="F204" s="20"/>
      <c r="W204" s="21"/>
      <c r="X204" s="21"/>
    </row>
    <row r="205" ht="15.75" customHeight="1">
      <c r="B205" s="19"/>
      <c r="C205" s="19"/>
      <c r="E205" s="19"/>
      <c r="F205" s="20"/>
      <c r="W205" s="21"/>
      <c r="X205" s="21"/>
    </row>
    <row r="206" ht="15.75" customHeight="1">
      <c r="B206" s="19"/>
      <c r="C206" s="19"/>
      <c r="E206" s="19"/>
      <c r="F206" s="20"/>
      <c r="W206" s="21"/>
      <c r="X206" s="21"/>
    </row>
    <row r="207" ht="15.75" customHeight="1">
      <c r="B207" s="19"/>
      <c r="C207" s="19"/>
      <c r="E207" s="19"/>
      <c r="F207" s="20"/>
      <c r="W207" s="21"/>
      <c r="X207" s="21"/>
    </row>
    <row r="208" ht="15.75" customHeight="1">
      <c r="B208" s="19"/>
      <c r="C208" s="19"/>
      <c r="E208" s="19"/>
      <c r="F208" s="20"/>
      <c r="W208" s="21"/>
      <c r="X208" s="21"/>
    </row>
    <row r="209" ht="15.75" customHeight="1">
      <c r="B209" s="19"/>
      <c r="C209" s="19"/>
      <c r="E209" s="19"/>
      <c r="F209" s="20"/>
      <c r="W209" s="21"/>
      <c r="X209" s="21"/>
    </row>
    <row r="210" ht="15.75" customHeight="1">
      <c r="B210" s="19"/>
      <c r="C210" s="19"/>
      <c r="E210" s="19"/>
      <c r="F210" s="20"/>
      <c r="W210" s="21"/>
      <c r="X210" s="21"/>
    </row>
    <row r="211" ht="15.75" customHeight="1">
      <c r="B211" s="19"/>
      <c r="C211" s="19"/>
      <c r="E211" s="19"/>
      <c r="F211" s="20"/>
      <c r="W211" s="21"/>
      <c r="X211" s="21"/>
    </row>
    <row r="212" ht="15.75" customHeight="1">
      <c r="B212" s="19"/>
      <c r="C212" s="19"/>
      <c r="E212" s="19"/>
      <c r="F212" s="20"/>
      <c r="W212" s="21"/>
      <c r="X212" s="21"/>
    </row>
    <row r="213" ht="15.75" customHeight="1">
      <c r="B213" s="19"/>
      <c r="C213" s="19"/>
      <c r="E213" s="19"/>
      <c r="F213" s="20"/>
      <c r="W213" s="21"/>
      <c r="X213" s="21"/>
    </row>
    <row r="214" ht="15.75" customHeight="1">
      <c r="B214" s="19"/>
      <c r="C214" s="19"/>
      <c r="E214" s="19"/>
      <c r="F214" s="20"/>
      <c r="W214" s="21"/>
      <c r="X214" s="21"/>
    </row>
    <row r="215" ht="15.75" customHeight="1">
      <c r="B215" s="19"/>
      <c r="C215" s="19"/>
      <c r="E215" s="19"/>
      <c r="F215" s="20"/>
      <c r="W215" s="21"/>
      <c r="X215" s="21"/>
    </row>
    <row r="216" ht="15.75" customHeight="1">
      <c r="B216" s="19"/>
      <c r="C216" s="19"/>
      <c r="E216" s="19"/>
      <c r="F216" s="20"/>
      <c r="W216" s="21"/>
      <c r="X216" s="21"/>
    </row>
    <row r="217" ht="15.75" customHeight="1">
      <c r="B217" s="19"/>
      <c r="C217" s="19"/>
      <c r="E217" s="19"/>
      <c r="F217" s="20"/>
      <c r="W217" s="21"/>
      <c r="X217" s="21"/>
    </row>
    <row r="218" ht="15.75" customHeight="1">
      <c r="B218" s="19"/>
      <c r="C218" s="19"/>
      <c r="E218" s="19"/>
      <c r="F218" s="20"/>
      <c r="W218" s="21"/>
      <c r="X218" s="21"/>
    </row>
    <row r="219" ht="15.75" customHeight="1">
      <c r="B219" s="19"/>
      <c r="C219" s="19"/>
      <c r="E219" s="19"/>
      <c r="F219" s="20"/>
      <c r="W219" s="21"/>
      <c r="X219" s="21"/>
    </row>
    <row r="220" ht="15.75" customHeight="1">
      <c r="B220" s="19"/>
      <c r="C220" s="19"/>
      <c r="E220" s="19"/>
      <c r="F220" s="20"/>
      <c r="W220" s="21"/>
      <c r="X220" s="21"/>
    </row>
    <row r="221" ht="15.75" customHeight="1">
      <c r="B221" s="19"/>
      <c r="C221" s="19"/>
      <c r="E221" s="19"/>
      <c r="F221" s="20"/>
      <c r="W221" s="21"/>
      <c r="X221" s="21"/>
    </row>
    <row r="222" ht="15.75" customHeight="1">
      <c r="B222" s="19"/>
      <c r="C222" s="19"/>
      <c r="E222" s="19"/>
      <c r="F222" s="20"/>
      <c r="W222" s="21"/>
      <c r="X222" s="21"/>
    </row>
    <row r="223" ht="15.75" customHeight="1">
      <c r="B223" s="19"/>
      <c r="C223" s="19"/>
      <c r="E223" s="19"/>
      <c r="F223" s="20"/>
      <c r="W223" s="21"/>
      <c r="X223" s="21"/>
    </row>
    <row r="224" ht="15.75" customHeight="1">
      <c r="B224" s="19"/>
      <c r="C224" s="19"/>
      <c r="E224" s="19"/>
      <c r="F224" s="20"/>
      <c r="W224" s="21"/>
      <c r="X224" s="21"/>
    </row>
    <row r="225" ht="15.75" customHeight="1">
      <c r="B225" s="19"/>
      <c r="C225" s="19"/>
      <c r="E225" s="19"/>
      <c r="F225" s="20"/>
      <c r="W225" s="21"/>
      <c r="X225" s="21"/>
    </row>
    <row r="226" ht="15.75" customHeight="1">
      <c r="B226" s="19"/>
      <c r="C226" s="19"/>
      <c r="E226" s="19"/>
      <c r="F226" s="20"/>
      <c r="W226" s="21"/>
      <c r="X226" s="21"/>
    </row>
    <row r="227" ht="15.75" customHeight="1">
      <c r="B227" s="19"/>
      <c r="C227" s="19"/>
      <c r="E227" s="19"/>
      <c r="F227" s="20"/>
      <c r="W227" s="21"/>
      <c r="X227" s="21"/>
    </row>
    <row r="228" ht="15.75" customHeight="1">
      <c r="B228" s="19"/>
      <c r="C228" s="19"/>
      <c r="E228" s="19"/>
      <c r="F228" s="20"/>
      <c r="W228" s="21"/>
      <c r="X228" s="21"/>
    </row>
    <row r="229" ht="15.75" customHeight="1">
      <c r="B229" s="19"/>
      <c r="C229" s="19"/>
      <c r="E229" s="19"/>
      <c r="F229" s="20"/>
      <c r="W229" s="21"/>
      <c r="X229" s="21"/>
    </row>
    <row r="230" ht="15.75" customHeight="1">
      <c r="B230" s="19"/>
      <c r="C230" s="19"/>
      <c r="E230" s="19"/>
      <c r="F230" s="20"/>
      <c r="W230" s="21"/>
      <c r="X230" s="21"/>
    </row>
    <row r="231" ht="15.75" customHeight="1">
      <c r="B231" s="19"/>
      <c r="C231" s="19"/>
      <c r="E231" s="19"/>
      <c r="F231" s="20"/>
      <c r="W231" s="21"/>
      <c r="X231" s="21"/>
    </row>
    <row r="232" ht="15.75" customHeight="1">
      <c r="B232" s="19"/>
      <c r="C232" s="19"/>
      <c r="E232" s="19"/>
      <c r="F232" s="20"/>
      <c r="W232" s="21"/>
      <c r="X232" s="21"/>
    </row>
    <row r="233" ht="15.75" customHeight="1">
      <c r="B233" s="19"/>
      <c r="C233" s="19"/>
      <c r="E233" s="19"/>
      <c r="F233" s="20"/>
      <c r="W233" s="21"/>
      <c r="X233" s="21"/>
    </row>
    <row r="234" ht="15.75" customHeight="1">
      <c r="B234" s="19"/>
      <c r="C234" s="19"/>
      <c r="E234" s="19"/>
      <c r="F234" s="20"/>
      <c r="W234" s="21"/>
      <c r="X234" s="21"/>
    </row>
    <row r="235" ht="15.75" customHeight="1">
      <c r="B235" s="19"/>
      <c r="C235" s="19"/>
      <c r="E235" s="19"/>
      <c r="F235" s="20"/>
      <c r="W235" s="21"/>
      <c r="X235" s="21"/>
    </row>
    <row r="236" ht="15.75" customHeight="1">
      <c r="B236" s="19"/>
      <c r="C236" s="19"/>
      <c r="E236" s="19"/>
      <c r="F236" s="20"/>
      <c r="W236" s="21"/>
      <c r="X236" s="21"/>
    </row>
    <row r="237" ht="15.75" customHeight="1">
      <c r="B237" s="19"/>
      <c r="C237" s="19"/>
      <c r="E237" s="19"/>
      <c r="F237" s="20"/>
      <c r="W237" s="21"/>
      <c r="X237" s="21"/>
    </row>
    <row r="238" ht="15.75" customHeight="1">
      <c r="B238" s="19"/>
      <c r="C238" s="19"/>
      <c r="E238" s="19"/>
      <c r="F238" s="20"/>
      <c r="W238" s="21"/>
      <c r="X238" s="21"/>
    </row>
    <row r="239" ht="15.75" customHeight="1">
      <c r="B239" s="19"/>
      <c r="C239" s="19"/>
      <c r="E239" s="19"/>
      <c r="F239" s="20"/>
      <c r="W239" s="21"/>
      <c r="X239" s="21"/>
    </row>
    <row r="240" ht="15.75" customHeight="1">
      <c r="B240" s="19"/>
      <c r="C240" s="19"/>
      <c r="E240" s="19"/>
      <c r="F240" s="20"/>
      <c r="W240" s="21"/>
      <c r="X240" s="21"/>
    </row>
    <row r="241" ht="15.75" customHeight="1">
      <c r="B241" s="19"/>
      <c r="C241" s="19"/>
      <c r="E241" s="19"/>
      <c r="F241" s="20"/>
      <c r="W241" s="21"/>
      <c r="X241" s="21"/>
    </row>
    <row r="242" ht="15.75" customHeight="1">
      <c r="B242" s="19"/>
      <c r="C242" s="19"/>
      <c r="E242" s="19"/>
      <c r="F242" s="20"/>
      <c r="W242" s="21"/>
      <c r="X242" s="21"/>
    </row>
    <row r="243" ht="15.75" customHeight="1">
      <c r="B243" s="19"/>
      <c r="C243" s="19"/>
      <c r="E243" s="19"/>
      <c r="F243" s="20"/>
      <c r="W243" s="21"/>
      <c r="X243" s="21"/>
    </row>
    <row r="244" ht="15.75" customHeight="1">
      <c r="B244" s="19"/>
      <c r="C244" s="19"/>
      <c r="E244" s="19"/>
      <c r="F244" s="20"/>
      <c r="W244" s="21"/>
      <c r="X244" s="21"/>
    </row>
    <row r="245" ht="15.75" customHeight="1">
      <c r="B245" s="19"/>
      <c r="C245" s="19"/>
      <c r="E245" s="19"/>
      <c r="F245" s="20"/>
      <c r="W245" s="21"/>
      <c r="X245" s="21"/>
    </row>
    <row r="246" ht="15.75" customHeight="1">
      <c r="B246" s="19"/>
      <c r="C246" s="19"/>
      <c r="E246" s="19"/>
      <c r="F246" s="20"/>
      <c r="W246" s="21"/>
      <c r="X246" s="21"/>
    </row>
    <row r="247" ht="15.75" customHeight="1">
      <c r="B247" s="19"/>
      <c r="C247" s="19"/>
      <c r="E247" s="19"/>
      <c r="F247" s="20"/>
      <c r="W247" s="21"/>
      <c r="X247" s="21"/>
    </row>
    <row r="248" ht="15.75" customHeight="1">
      <c r="B248" s="19"/>
      <c r="C248" s="19"/>
      <c r="E248" s="19"/>
      <c r="F248" s="20"/>
      <c r="W248" s="21"/>
      <c r="X248" s="21"/>
    </row>
    <row r="249" ht="15.75" customHeight="1">
      <c r="B249" s="19"/>
      <c r="C249" s="19"/>
      <c r="E249" s="19"/>
      <c r="F249" s="20"/>
      <c r="W249" s="21"/>
      <c r="X249" s="21"/>
    </row>
    <row r="250" ht="15.75" customHeight="1">
      <c r="B250" s="19"/>
      <c r="C250" s="19"/>
      <c r="E250" s="19"/>
      <c r="F250" s="20"/>
      <c r="W250" s="21"/>
      <c r="X250" s="21"/>
    </row>
    <row r="251" ht="15.75" customHeight="1">
      <c r="B251" s="19"/>
      <c r="C251" s="19"/>
      <c r="E251" s="19"/>
      <c r="F251" s="20"/>
      <c r="W251" s="21"/>
      <c r="X251" s="21"/>
    </row>
    <row r="252" ht="15.75" customHeight="1">
      <c r="B252" s="19"/>
      <c r="C252" s="19"/>
      <c r="E252" s="19"/>
      <c r="F252" s="20"/>
      <c r="W252" s="21"/>
      <c r="X252" s="21"/>
    </row>
    <row r="253" ht="15.75" customHeight="1">
      <c r="B253" s="19"/>
      <c r="C253" s="19"/>
      <c r="E253" s="19"/>
      <c r="F253" s="20"/>
      <c r="W253" s="21"/>
      <c r="X253" s="21"/>
    </row>
    <row r="254" ht="15.75" customHeight="1">
      <c r="B254" s="19"/>
      <c r="C254" s="19"/>
      <c r="E254" s="19"/>
      <c r="F254" s="20"/>
      <c r="W254" s="21"/>
      <c r="X254" s="21"/>
    </row>
    <row r="255" ht="15.75" customHeight="1">
      <c r="B255" s="19"/>
      <c r="C255" s="19"/>
      <c r="E255" s="19"/>
      <c r="F255" s="20"/>
      <c r="W255" s="21"/>
      <c r="X255" s="21"/>
    </row>
    <row r="256" ht="15.75" customHeight="1">
      <c r="B256" s="19"/>
      <c r="C256" s="19"/>
      <c r="E256" s="19"/>
      <c r="F256" s="20"/>
      <c r="W256" s="21"/>
      <c r="X256" s="21"/>
    </row>
    <row r="257" ht="15.75" customHeight="1">
      <c r="B257" s="19"/>
      <c r="C257" s="19"/>
      <c r="E257" s="19"/>
      <c r="F257" s="20"/>
      <c r="W257" s="21"/>
      <c r="X257" s="21"/>
    </row>
    <row r="258" ht="15.75" customHeight="1">
      <c r="B258" s="19"/>
      <c r="C258" s="19"/>
      <c r="E258" s="19"/>
      <c r="F258" s="20"/>
      <c r="W258" s="21"/>
      <c r="X258" s="21"/>
    </row>
    <row r="259" ht="15.75" customHeight="1">
      <c r="B259" s="19"/>
      <c r="C259" s="19"/>
      <c r="E259" s="19"/>
      <c r="F259" s="20"/>
      <c r="W259" s="21"/>
      <c r="X259" s="21"/>
    </row>
    <row r="260" ht="15.75" customHeight="1">
      <c r="B260" s="19"/>
      <c r="C260" s="19"/>
      <c r="E260" s="19"/>
      <c r="F260" s="20"/>
      <c r="W260" s="21"/>
      <c r="X260" s="21"/>
    </row>
    <row r="261" ht="15.75" customHeight="1">
      <c r="B261" s="19"/>
      <c r="C261" s="19"/>
      <c r="E261" s="19"/>
      <c r="F261" s="20"/>
      <c r="W261" s="21"/>
      <c r="X261" s="21"/>
    </row>
    <row r="262" ht="15.75" customHeight="1">
      <c r="B262" s="19"/>
      <c r="C262" s="19"/>
      <c r="E262" s="19"/>
      <c r="F262" s="20"/>
      <c r="W262" s="21"/>
      <c r="X262" s="21"/>
    </row>
    <row r="263" ht="15.75" customHeight="1">
      <c r="B263" s="19"/>
      <c r="C263" s="19"/>
      <c r="E263" s="19"/>
      <c r="F263" s="20"/>
      <c r="W263" s="21"/>
      <c r="X263" s="21"/>
    </row>
    <row r="264" ht="15.75" customHeight="1">
      <c r="B264" s="19"/>
      <c r="C264" s="19"/>
      <c r="E264" s="19"/>
      <c r="F264" s="20"/>
      <c r="W264" s="21"/>
      <c r="X264" s="21"/>
    </row>
    <row r="265" ht="15.75" customHeight="1">
      <c r="B265" s="19"/>
      <c r="C265" s="19"/>
      <c r="E265" s="19"/>
      <c r="F265" s="20"/>
      <c r="W265" s="21"/>
      <c r="X265" s="21"/>
    </row>
    <row r="266" ht="15.75" customHeight="1">
      <c r="B266" s="19"/>
      <c r="C266" s="19"/>
      <c r="E266" s="19"/>
      <c r="F266" s="20"/>
      <c r="W266" s="21"/>
      <c r="X266" s="21"/>
    </row>
    <row r="267" ht="15.75" customHeight="1">
      <c r="B267" s="19"/>
      <c r="C267" s="19"/>
      <c r="E267" s="19"/>
      <c r="F267" s="20"/>
      <c r="W267" s="21"/>
      <c r="X267" s="21"/>
    </row>
    <row r="268" ht="15.75" customHeight="1">
      <c r="B268" s="19"/>
      <c r="C268" s="19"/>
      <c r="E268" s="19"/>
      <c r="F268" s="20"/>
      <c r="W268" s="21"/>
      <c r="X268" s="21"/>
    </row>
    <row r="269" ht="15.75" customHeight="1">
      <c r="B269" s="19"/>
      <c r="C269" s="19"/>
      <c r="E269" s="19"/>
      <c r="F269" s="20"/>
      <c r="W269" s="21"/>
      <c r="X269" s="21"/>
    </row>
    <row r="270" ht="15.75" customHeight="1">
      <c r="B270" s="19"/>
      <c r="C270" s="19"/>
      <c r="E270" s="19"/>
      <c r="F270" s="20"/>
      <c r="W270" s="21"/>
      <c r="X270" s="21"/>
    </row>
    <row r="271" ht="15.75" customHeight="1">
      <c r="B271" s="19"/>
      <c r="C271" s="19"/>
      <c r="E271" s="19"/>
      <c r="F271" s="20"/>
      <c r="W271" s="21"/>
      <c r="X271" s="21"/>
    </row>
    <row r="272" ht="15.75" customHeight="1">
      <c r="B272" s="19"/>
      <c r="C272" s="19"/>
      <c r="E272" s="19"/>
      <c r="F272" s="20"/>
      <c r="W272" s="21"/>
      <c r="X272" s="21"/>
    </row>
    <row r="273" ht="15.75" customHeight="1">
      <c r="B273" s="19"/>
      <c r="C273" s="19"/>
      <c r="E273" s="19"/>
      <c r="F273" s="20"/>
      <c r="W273" s="21"/>
      <c r="X273" s="21"/>
    </row>
    <row r="274" ht="15.75" customHeight="1">
      <c r="B274" s="19"/>
      <c r="C274" s="19"/>
      <c r="E274" s="19"/>
      <c r="F274" s="20"/>
      <c r="W274" s="21"/>
      <c r="X274" s="21"/>
    </row>
    <row r="275" ht="15.75" customHeight="1">
      <c r="B275" s="19"/>
      <c r="C275" s="19"/>
      <c r="E275" s="19"/>
      <c r="F275" s="20"/>
      <c r="W275" s="21"/>
      <c r="X275" s="21"/>
    </row>
    <row r="276" ht="15.75" customHeight="1">
      <c r="B276" s="19"/>
      <c r="C276" s="19"/>
      <c r="E276" s="19"/>
      <c r="F276" s="20"/>
      <c r="W276" s="21"/>
      <c r="X276" s="21"/>
    </row>
    <row r="277" ht="15.75" customHeight="1">
      <c r="B277" s="19"/>
      <c r="C277" s="19"/>
      <c r="E277" s="19"/>
      <c r="F277" s="20"/>
      <c r="W277" s="21"/>
      <c r="X277" s="21"/>
    </row>
    <row r="278" ht="15.75" customHeight="1">
      <c r="B278" s="19"/>
      <c r="C278" s="19"/>
      <c r="E278" s="19"/>
      <c r="F278" s="20"/>
      <c r="W278" s="21"/>
      <c r="X278" s="21"/>
    </row>
    <row r="279" ht="15.75" customHeight="1">
      <c r="B279" s="19"/>
      <c r="C279" s="19"/>
      <c r="E279" s="19"/>
      <c r="F279" s="20"/>
      <c r="W279" s="21"/>
      <c r="X279" s="21"/>
    </row>
    <row r="280" ht="15.75" customHeight="1">
      <c r="B280" s="19"/>
      <c r="C280" s="19"/>
      <c r="E280" s="19"/>
      <c r="F280" s="20"/>
      <c r="W280" s="21"/>
      <c r="X280" s="21"/>
    </row>
    <row r="281" ht="15.75" customHeight="1">
      <c r="B281" s="19"/>
      <c r="C281" s="19"/>
      <c r="E281" s="19"/>
      <c r="F281" s="20"/>
      <c r="W281" s="21"/>
      <c r="X281" s="21"/>
    </row>
    <row r="282" ht="15.75" customHeight="1">
      <c r="B282" s="19"/>
      <c r="C282" s="19"/>
      <c r="E282" s="19"/>
      <c r="F282" s="20"/>
      <c r="W282" s="21"/>
      <c r="X282" s="21"/>
    </row>
    <row r="283" ht="15.75" customHeight="1">
      <c r="B283" s="19"/>
      <c r="C283" s="19"/>
      <c r="E283" s="19"/>
      <c r="F283" s="20"/>
      <c r="W283" s="21"/>
      <c r="X283" s="21"/>
    </row>
    <row r="284" ht="15.75" customHeight="1">
      <c r="B284" s="19"/>
      <c r="C284" s="19"/>
      <c r="E284" s="19"/>
      <c r="F284" s="20"/>
      <c r="W284" s="21"/>
      <c r="X284" s="21"/>
    </row>
    <row r="285" ht="15.75" customHeight="1">
      <c r="B285" s="19"/>
      <c r="C285" s="19"/>
      <c r="E285" s="19"/>
      <c r="F285" s="20"/>
      <c r="W285" s="21"/>
      <c r="X285" s="21"/>
    </row>
    <row r="286" ht="15.75" customHeight="1">
      <c r="B286" s="19"/>
      <c r="C286" s="19"/>
      <c r="E286" s="19"/>
      <c r="F286" s="20"/>
      <c r="W286" s="21"/>
      <c r="X286" s="21"/>
    </row>
    <row r="287" ht="15.75" customHeight="1">
      <c r="B287" s="19"/>
      <c r="C287" s="19"/>
      <c r="E287" s="19"/>
      <c r="F287" s="20"/>
      <c r="W287" s="21"/>
      <c r="X287" s="21"/>
    </row>
    <row r="288" ht="15.75" customHeight="1">
      <c r="B288" s="19"/>
      <c r="C288" s="19"/>
      <c r="E288" s="19"/>
      <c r="F288" s="20"/>
      <c r="W288" s="21"/>
      <c r="X288" s="21"/>
    </row>
    <row r="289" ht="15.75" customHeight="1">
      <c r="B289" s="19"/>
      <c r="C289" s="19"/>
      <c r="E289" s="19"/>
      <c r="F289" s="20"/>
      <c r="W289" s="21"/>
      <c r="X289" s="21"/>
    </row>
    <row r="290" ht="15.75" customHeight="1">
      <c r="B290" s="19"/>
      <c r="C290" s="19"/>
      <c r="E290" s="19"/>
      <c r="F290" s="20"/>
      <c r="W290" s="21"/>
      <c r="X290" s="21"/>
    </row>
    <row r="291" ht="15.75" customHeight="1">
      <c r="B291" s="19"/>
      <c r="C291" s="19"/>
      <c r="E291" s="19"/>
      <c r="F291" s="20"/>
      <c r="W291" s="21"/>
      <c r="X291" s="21"/>
    </row>
    <row r="292" ht="15.75" customHeight="1">
      <c r="B292" s="19"/>
      <c r="C292" s="19"/>
      <c r="E292" s="19"/>
      <c r="F292" s="20"/>
      <c r="W292" s="21"/>
      <c r="X292" s="21"/>
    </row>
    <row r="293" ht="15.75" customHeight="1">
      <c r="B293" s="19"/>
      <c r="C293" s="19"/>
      <c r="E293" s="19"/>
      <c r="F293" s="20"/>
      <c r="W293" s="21"/>
      <c r="X293" s="21"/>
    </row>
    <row r="294" ht="15.75" customHeight="1">
      <c r="B294" s="19"/>
      <c r="C294" s="19"/>
      <c r="E294" s="19"/>
      <c r="F294" s="20"/>
      <c r="W294" s="21"/>
      <c r="X294" s="21"/>
    </row>
    <row r="295" ht="15.75" customHeight="1">
      <c r="B295" s="19"/>
      <c r="C295" s="19"/>
      <c r="E295" s="19"/>
      <c r="F295" s="20"/>
      <c r="W295" s="21"/>
      <c r="X295" s="21"/>
    </row>
    <row r="296" ht="15.75" customHeight="1">
      <c r="B296" s="19"/>
      <c r="C296" s="19"/>
      <c r="E296" s="19"/>
      <c r="F296" s="20"/>
      <c r="W296" s="21"/>
      <c r="X296" s="21"/>
    </row>
    <row r="297" ht="15.75" customHeight="1">
      <c r="B297" s="19"/>
      <c r="C297" s="19"/>
      <c r="E297" s="19"/>
      <c r="F297" s="20"/>
      <c r="W297" s="21"/>
      <c r="X297" s="21"/>
    </row>
    <row r="298" ht="15.75" customHeight="1">
      <c r="B298" s="19"/>
      <c r="C298" s="19"/>
      <c r="E298" s="19"/>
      <c r="F298" s="20"/>
      <c r="W298" s="21"/>
      <c r="X298" s="21"/>
    </row>
    <row r="299" ht="15.75" customHeight="1">
      <c r="B299" s="19"/>
      <c r="C299" s="19"/>
      <c r="E299" s="19"/>
      <c r="F299" s="20"/>
      <c r="W299" s="21"/>
      <c r="X299" s="21"/>
    </row>
    <row r="300" ht="15.75" customHeight="1">
      <c r="B300" s="19"/>
      <c r="C300" s="19"/>
      <c r="E300" s="19"/>
      <c r="F300" s="20"/>
      <c r="W300" s="21"/>
      <c r="X300" s="21"/>
    </row>
    <row r="301" ht="15.75" customHeight="1">
      <c r="B301" s="19"/>
      <c r="C301" s="19"/>
      <c r="E301" s="19"/>
      <c r="F301" s="20"/>
      <c r="W301" s="21"/>
      <c r="X301" s="21"/>
    </row>
    <row r="302" ht="15.75" customHeight="1">
      <c r="B302" s="19"/>
      <c r="C302" s="19"/>
      <c r="E302" s="19"/>
      <c r="F302" s="20"/>
      <c r="W302" s="21"/>
      <c r="X302" s="21"/>
    </row>
    <row r="303" ht="15.75" customHeight="1">
      <c r="B303" s="19"/>
      <c r="C303" s="19"/>
      <c r="E303" s="19"/>
      <c r="F303" s="20"/>
      <c r="W303" s="21"/>
      <c r="X303" s="21"/>
    </row>
    <row r="304" ht="15.75" customHeight="1">
      <c r="B304" s="19"/>
      <c r="C304" s="19"/>
      <c r="E304" s="19"/>
      <c r="F304" s="20"/>
      <c r="W304" s="21"/>
      <c r="X304" s="21"/>
    </row>
    <row r="305" ht="15.75" customHeight="1">
      <c r="B305" s="19"/>
      <c r="C305" s="19"/>
      <c r="E305" s="19"/>
      <c r="F305" s="20"/>
      <c r="W305" s="21"/>
      <c r="X305" s="21"/>
    </row>
    <row r="306" ht="15.75" customHeight="1">
      <c r="B306" s="19"/>
      <c r="C306" s="19"/>
      <c r="E306" s="19"/>
      <c r="F306" s="20"/>
      <c r="W306" s="21"/>
      <c r="X306" s="21"/>
    </row>
    <row r="307" ht="15.75" customHeight="1">
      <c r="B307" s="19"/>
      <c r="C307" s="19"/>
      <c r="E307" s="19"/>
      <c r="F307" s="20"/>
      <c r="W307" s="21"/>
      <c r="X307" s="21"/>
    </row>
    <row r="308" ht="15.75" customHeight="1">
      <c r="B308" s="19"/>
      <c r="C308" s="19"/>
      <c r="E308" s="19"/>
      <c r="F308" s="20"/>
      <c r="W308" s="21"/>
      <c r="X308" s="21"/>
    </row>
    <row r="309" ht="15.75" customHeight="1">
      <c r="B309" s="19"/>
      <c r="C309" s="19"/>
      <c r="E309" s="19"/>
      <c r="F309" s="20"/>
      <c r="W309" s="21"/>
      <c r="X309" s="21"/>
    </row>
    <row r="310" ht="15.75" customHeight="1">
      <c r="B310" s="19"/>
      <c r="C310" s="19"/>
      <c r="E310" s="19"/>
      <c r="F310" s="20"/>
      <c r="W310" s="21"/>
      <c r="X310" s="21"/>
    </row>
    <row r="311" ht="15.75" customHeight="1">
      <c r="B311" s="19"/>
      <c r="C311" s="19"/>
      <c r="E311" s="19"/>
      <c r="F311" s="20"/>
      <c r="W311" s="21"/>
      <c r="X311" s="21"/>
    </row>
    <row r="312" ht="15.75" customHeight="1">
      <c r="B312" s="19"/>
      <c r="C312" s="19"/>
      <c r="E312" s="19"/>
      <c r="F312" s="20"/>
      <c r="W312" s="21"/>
      <c r="X312" s="21"/>
    </row>
    <row r="313" ht="15.75" customHeight="1">
      <c r="B313" s="19"/>
      <c r="C313" s="19"/>
      <c r="E313" s="19"/>
      <c r="F313" s="20"/>
      <c r="W313" s="21"/>
      <c r="X313" s="21"/>
    </row>
    <row r="314" ht="15.75" customHeight="1">
      <c r="B314" s="19"/>
      <c r="C314" s="19"/>
      <c r="E314" s="19"/>
      <c r="F314" s="20"/>
      <c r="W314" s="21"/>
      <c r="X314" s="21"/>
    </row>
    <row r="315" ht="15.75" customHeight="1">
      <c r="B315" s="19"/>
      <c r="C315" s="19"/>
      <c r="E315" s="19"/>
      <c r="F315" s="20"/>
      <c r="W315" s="21"/>
      <c r="X315" s="21"/>
    </row>
    <row r="316" ht="15.75" customHeight="1">
      <c r="B316" s="19"/>
      <c r="C316" s="19"/>
      <c r="E316" s="19"/>
      <c r="F316" s="20"/>
      <c r="W316" s="21"/>
      <c r="X316" s="21"/>
    </row>
    <row r="317" ht="15.75" customHeight="1">
      <c r="B317" s="19"/>
      <c r="C317" s="19"/>
      <c r="E317" s="19"/>
      <c r="F317" s="20"/>
      <c r="W317" s="21"/>
      <c r="X317" s="21"/>
    </row>
    <row r="318" ht="15.75" customHeight="1">
      <c r="B318" s="19"/>
      <c r="C318" s="19"/>
      <c r="E318" s="19"/>
      <c r="F318" s="20"/>
      <c r="W318" s="21"/>
      <c r="X318" s="21"/>
    </row>
    <row r="319" ht="15.75" customHeight="1">
      <c r="B319" s="19"/>
      <c r="C319" s="19"/>
      <c r="E319" s="19"/>
      <c r="F319" s="20"/>
      <c r="W319" s="21"/>
      <c r="X319" s="21"/>
    </row>
    <row r="320" ht="15.75" customHeight="1">
      <c r="B320" s="19"/>
      <c r="C320" s="19"/>
      <c r="E320" s="19"/>
      <c r="F320" s="20"/>
      <c r="W320" s="21"/>
      <c r="X320" s="21"/>
    </row>
    <row r="321" ht="15.75" customHeight="1">
      <c r="B321" s="19"/>
      <c r="C321" s="19"/>
      <c r="E321" s="19"/>
      <c r="F321" s="20"/>
      <c r="W321" s="21"/>
      <c r="X321" s="21"/>
    </row>
    <row r="322" ht="15.75" customHeight="1">
      <c r="B322" s="19"/>
      <c r="C322" s="19"/>
      <c r="E322" s="19"/>
      <c r="F322" s="20"/>
      <c r="W322" s="21"/>
      <c r="X322" s="21"/>
    </row>
    <row r="323" ht="15.75" customHeight="1">
      <c r="B323" s="19"/>
      <c r="C323" s="19"/>
      <c r="E323" s="19"/>
      <c r="F323" s="20"/>
      <c r="W323" s="21"/>
      <c r="X323" s="21"/>
    </row>
    <row r="324" ht="15.75" customHeight="1">
      <c r="B324" s="19"/>
      <c r="C324" s="19"/>
      <c r="E324" s="19"/>
      <c r="F324" s="20"/>
      <c r="W324" s="21"/>
      <c r="X324" s="21"/>
    </row>
    <row r="325" ht="15.75" customHeight="1">
      <c r="B325" s="19"/>
      <c r="C325" s="19"/>
      <c r="E325" s="19"/>
      <c r="F325" s="20"/>
      <c r="W325" s="21"/>
      <c r="X325" s="21"/>
    </row>
    <row r="326" ht="15.75" customHeight="1">
      <c r="B326" s="19"/>
      <c r="C326" s="19"/>
      <c r="E326" s="19"/>
      <c r="F326" s="20"/>
      <c r="W326" s="21"/>
      <c r="X326" s="21"/>
    </row>
    <row r="327" ht="15.75" customHeight="1">
      <c r="B327" s="19"/>
      <c r="C327" s="19"/>
      <c r="E327" s="19"/>
      <c r="F327" s="20"/>
      <c r="W327" s="21"/>
      <c r="X327" s="21"/>
    </row>
    <row r="328" ht="15.75" customHeight="1">
      <c r="B328" s="19"/>
      <c r="C328" s="19"/>
      <c r="E328" s="19"/>
      <c r="F328" s="20"/>
      <c r="W328" s="21"/>
      <c r="X328" s="21"/>
    </row>
    <row r="329" ht="15.75" customHeight="1">
      <c r="B329" s="19"/>
      <c r="C329" s="19"/>
      <c r="E329" s="19"/>
      <c r="F329" s="20"/>
      <c r="W329" s="21"/>
      <c r="X329" s="21"/>
    </row>
    <row r="330" ht="15.75" customHeight="1">
      <c r="B330" s="19"/>
      <c r="C330" s="19"/>
      <c r="E330" s="19"/>
      <c r="F330" s="20"/>
      <c r="W330" s="21"/>
      <c r="X330" s="21"/>
    </row>
    <row r="331" ht="15.75" customHeight="1">
      <c r="B331" s="19"/>
      <c r="C331" s="19"/>
      <c r="E331" s="19"/>
      <c r="F331" s="20"/>
      <c r="W331" s="21"/>
      <c r="X331" s="21"/>
    </row>
    <row r="332" ht="15.75" customHeight="1">
      <c r="B332" s="19"/>
      <c r="C332" s="19"/>
      <c r="E332" s="19"/>
      <c r="F332" s="20"/>
      <c r="W332" s="21"/>
      <c r="X332" s="21"/>
    </row>
    <row r="333" ht="15.75" customHeight="1">
      <c r="B333" s="19"/>
      <c r="C333" s="19"/>
      <c r="E333" s="19"/>
      <c r="F333" s="20"/>
      <c r="W333" s="21"/>
      <c r="X333" s="21"/>
    </row>
    <row r="334" ht="15.75" customHeight="1">
      <c r="B334" s="19"/>
      <c r="C334" s="19"/>
      <c r="E334" s="19"/>
      <c r="F334" s="20"/>
      <c r="W334" s="21"/>
      <c r="X334" s="21"/>
    </row>
    <row r="335" ht="15.75" customHeight="1">
      <c r="B335" s="19"/>
      <c r="C335" s="19"/>
      <c r="E335" s="19"/>
      <c r="F335" s="20"/>
      <c r="W335" s="21"/>
      <c r="X335" s="21"/>
    </row>
    <row r="336" ht="15.75" customHeight="1">
      <c r="B336" s="19"/>
      <c r="C336" s="19"/>
      <c r="E336" s="19"/>
      <c r="F336" s="20"/>
      <c r="W336" s="21"/>
      <c r="X336" s="21"/>
    </row>
    <row r="337" ht="15.75" customHeight="1">
      <c r="B337" s="19"/>
      <c r="C337" s="19"/>
      <c r="E337" s="19"/>
      <c r="F337" s="20"/>
      <c r="W337" s="21"/>
      <c r="X337" s="21"/>
    </row>
    <row r="338" ht="15.75" customHeight="1">
      <c r="B338" s="19"/>
      <c r="C338" s="19"/>
      <c r="E338" s="19"/>
      <c r="F338" s="20"/>
      <c r="W338" s="21"/>
      <c r="X338" s="21"/>
    </row>
    <row r="339" ht="15.75" customHeight="1">
      <c r="B339" s="19"/>
      <c r="C339" s="19"/>
      <c r="E339" s="19"/>
      <c r="F339" s="20"/>
      <c r="W339" s="21"/>
      <c r="X339" s="21"/>
    </row>
    <row r="340" ht="15.75" customHeight="1">
      <c r="B340" s="19"/>
      <c r="C340" s="19"/>
      <c r="E340" s="19"/>
      <c r="F340" s="20"/>
      <c r="W340" s="21"/>
      <c r="X340" s="21"/>
    </row>
    <row r="341" ht="15.75" customHeight="1">
      <c r="B341" s="19"/>
      <c r="C341" s="19"/>
      <c r="E341" s="19"/>
      <c r="F341" s="20"/>
      <c r="W341" s="21"/>
      <c r="X341" s="21"/>
    </row>
    <row r="342" ht="15.75" customHeight="1">
      <c r="B342" s="19"/>
      <c r="C342" s="19"/>
      <c r="E342" s="19"/>
      <c r="F342" s="20"/>
      <c r="W342" s="21"/>
      <c r="X342" s="21"/>
    </row>
    <row r="343" ht="15.75" customHeight="1">
      <c r="B343" s="19"/>
      <c r="C343" s="19"/>
      <c r="E343" s="19"/>
      <c r="F343" s="20"/>
      <c r="W343" s="21"/>
      <c r="X343" s="21"/>
    </row>
    <row r="344" ht="15.75" customHeight="1">
      <c r="B344" s="19"/>
      <c r="C344" s="19"/>
      <c r="E344" s="19"/>
      <c r="F344" s="20"/>
      <c r="W344" s="21"/>
      <c r="X344" s="21"/>
    </row>
    <row r="345" ht="15.75" customHeight="1">
      <c r="B345" s="19"/>
      <c r="C345" s="19"/>
      <c r="E345" s="19"/>
      <c r="F345" s="20"/>
      <c r="W345" s="21"/>
      <c r="X345" s="21"/>
    </row>
    <row r="346" ht="15.75" customHeight="1">
      <c r="B346" s="19"/>
      <c r="C346" s="19"/>
      <c r="E346" s="19"/>
      <c r="F346" s="20"/>
      <c r="W346" s="21"/>
      <c r="X346" s="21"/>
    </row>
    <row r="347" ht="15.75" customHeight="1">
      <c r="B347" s="19"/>
      <c r="C347" s="19"/>
      <c r="E347" s="19"/>
      <c r="F347" s="20"/>
      <c r="W347" s="21"/>
      <c r="X347" s="21"/>
    </row>
    <row r="348" ht="15.75" customHeight="1">
      <c r="B348" s="19"/>
      <c r="C348" s="19"/>
      <c r="E348" s="19"/>
      <c r="F348" s="20"/>
      <c r="W348" s="21"/>
      <c r="X348" s="21"/>
    </row>
    <row r="349" ht="15.75" customHeight="1">
      <c r="B349" s="19"/>
      <c r="C349" s="19"/>
      <c r="E349" s="19"/>
      <c r="F349" s="20"/>
      <c r="W349" s="21"/>
      <c r="X349" s="21"/>
    </row>
    <row r="350" ht="15.75" customHeight="1">
      <c r="B350" s="19"/>
      <c r="C350" s="19"/>
      <c r="E350" s="19"/>
      <c r="F350" s="20"/>
      <c r="W350" s="21"/>
      <c r="X350" s="21"/>
    </row>
    <row r="351" ht="15.75" customHeight="1">
      <c r="B351" s="19"/>
      <c r="C351" s="19"/>
      <c r="E351" s="19"/>
      <c r="F351" s="20"/>
      <c r="W351" s="21"/>
      <c r="X351" s="21"/>
    </row>
    <row r="352" ht="15.75" customHeight="1">
      <c r="B352" s="19"/>
      <c r="C352" s="19"/>
      <c r="E352" s="19"/>
      <c r="F352" s="20"/>
      <c r="W352" s="21"/>
      <c r="X352" s="21"/>
    </row>
    <row r="353" ht="15.75" customHeight="1">
      <c r="B353" s="19"/>
      <c r="C353" s="19"/>
      <c r="E353" s="19"/>
      <c r="F353" s="20"/>
      <c r="W353" s="21"/>
      <c r="X353" s="21"/>
    </row>
    <row r="354" ht="15.75" customHeight="1">
      <c r="B354" s="19"/>
      <c r="C354" s="19"/>
      <c r="E354" s="19"/>
      <c r="F354" s="20"/>
      <c r="W354" s="21"/>
      <c r="X354" s="21"/>
    </row>
    <row r="355" ht="15.75" customHeight="1">
      <c r="B355" s="19"/>
      <c r="C355" s="19"/>
      <c r="E355" s="19"/>
      <c r="F355" s="20"/>
      <c r="W355" s="21"/>
      <c r="X355" s="21"/>
    </row>
    <row r="356" ht="15.75" customHeight="1">
      <c r="B356" s="19"/>
      <c r="C356" s="19"/>
      <c r="E356" s="19"/>
      <c r="F356" s="20"/>
      <c r="W356" s="21"/>
      <c r="X356" s="21"/>
    </row>
    <row r="357" ht="15.75" customHeight="1">
      <c r="B357" s="19"/>
      <c r="C357" s="19"/>
      <c r="E357" s="19"/>
      <c r="F357" s="20"/>
      <c r="W357" s="21"/>
      <c r="X357" s="21"/>
    </row>
    <row r="358" ht="15.75" customHeight="1">
      <c r="B358" s="19"/>
      <c r="C358" s="19"/>
      <c r="E358" s="19"/>
      <c r="F358" s="20"/>
      <c r="W358" s="21"/>
      <c r="X358" s="21"/>
    </row>
    <row r="359" ht="15.75" customHeight="1">
      <c r="B359" s="19"/>
      <c r="C359" s="19"/>
      <c r="E359" s="19"/>
      <c r="F359" s="20"/>
      <c r="W359" s="21"/>
      <c r="X359" s="21"/>
    </row>
    <row r="360" ht="15.75" customHeight="1">
      <c r="B360" s="19"/>
      <c r="C360" s="19"/>
      <c r="E360" s="19"/>
      <c r="F360" s="20"/>
      <c r="W360" s="21"/>
      <c r="X360" s="21"/>
    </row>
    <row r="361" ht="15.75" customHeight="1">
      <c r="B361" s="19"/>
      <c r="C361" s="19"/>
      <c r="E361" s="19"/>
      <c r="F361" s="20"/>
      <c r="W361" s="21"/>
      <c r="X361" s="21"/>
    </row>
    <row r="362" ht="15.75" customHeight="1">
      <c r="B362" s="19"/>
      <c r="C362" s="19"/>
      <c r="E362" s="19"/>
      <c r="F362" s="20"/>
      <c r="W362" s="21"/>
      <c r="X362" s="21"/>
    </row>
    <row r="363" ht="15.75" customHeight="1">
      <c r="B363" s="19"/>
      <c r="C363" s="19"/>
      <c r="E363" s="19"/>
      <c r="F363" s="20"/>
      <c r="W363" s="21"/>
      <c r="X363" s="21"/>
    </row>
    <row r="364" ht="15.75" customHeight="1">
      <c r="B364" s="19"/>
      <c r="C364" s="19"/>
      <c r="E364" s="19"/>
      <c r="F364" s="20"/>
      <c r="W364" s="21"/>
      <c r="X364" s="21"/>
    </row>
    <row r="365" ht="15.75" customHeight="1">
      <c r="B365" s="19"/>
      <c r="C365" s="19"/>
      <c r="E365" s="19"/>
      <c r="F365" s="20"/>
      <c r="W365" s="21"/>
      <c r="X365" s="21"/>
    </row>
    <row r="366" ht="15.75" customHeight="1">
      <c r="B366" s="19"/>
      <c r="C366" s="19"/>
      <c r="E366" s="19"/>
      <c r="F366" s="20"/>
      <c r="W366" s="21"/>
      <c r="X366" s="21"/>
    </row>
    <row r="367" ht="15.75" customHeight="1">
      <c r="B367" s="19"/>
      <c r="C367" s="19"/>
      <c r="E367" s="19"/>
      <c r="F367" s="20"/>
      <c r="W367" s="21"/>
      <c r="X367" s="21"/>
    </row>
    <row r="368" ht="15.75" customHeight="1">
      <c r="B368" s="19"/>
      <c r="C368" s="19"/>
      <c r="E368" s="19"/>
      <c r="F368" s="20"/>
      <c r="W368" s="21"/>
      <c r="X368" s="21"/>
    </row>
    <row r="369" ht="15.75" customHeight="1">
      <c r="B369" s="19"/>
      <c r="C369" s="19"/>
      <c r="E369" s="19"/>
      <c r="F369" s="20"/>
      <c r="W369" s="21"/>
      <c r="X369" s="21"/>
    </row>
    <row r="370" ht="15.75" customHeight="1">
      <c r="B370" s="19"/>
      <c r="C370" s="19"/>
      <c r="E370" s="19"/>
      <c r="F370" s="20"/>
      <c r="W370" s="21"/>
      <c r="X370" s="21"/>
    </row>
    <row r="371" ht="15.75" customHeight="1">
      <c r="B371" s="19"/>
      <c r="C371" s="19"/>
      <c r="E371" s="19"/>
      <c r="F371" s="20"/>
      <c r="W371" s="21"/>
      <c r="X371" s="21"/>
    </row>
    <row r="372" ht="15.75" customHeight="1">
      <c r="B372" s="19"/>
      <c r="C372" s="19"/>
      <c r="E372" s="19"/>
      <c r="F372" s="20"/>
      <c r="W372" s="21"/>
      <c r="X372" s="21"/>
    </row>
    <row r="373" ht="15.75" customHeight="1">
      <c r="B373" s="19"/>
      <c r="C373" s="19"/>
      <c r="E373" s="19"/>
      <c r="F373" s="20"/>
      <c r="W373" s="21"/>
      <c r="X373" s="21"/>
    </row>
    <row r="374" ht="15.75" customHeight="1">
      <c r="B374" s="19"/>
      <c r="C374" s="19"/>
      <c r="E374" s="19"/>
      <c r="F374" s="20"/>
      <c r="W374" s="21"/>
      <c r="X374" s="21"/>
    </row>
    <row r="375" ht="15.75" customHeight="1">
      <c r="B375" s="19"/>
      <c r="C375" s="19"/>
      <c r="E375" s="19"/>
      <c r="F375" s="20"/>
      <c r="W375" s="21"/>
      <c r="X375" s="21"/>
    </row>
    <row r="376" ht="15.75" customHeight="1">
      <c r="B376" s="19"/>
      <c r="C376" s="19"/>
      <c r="E376" s="19"/>
      <c r="F376" s="20"/>
      <c r="W376" s="21"/>
      <c r="X376" s="21"/>
    </row>
    <row r="377" ht="15.75" customHeight="1">
      <c r="B377" s="19"/>
      <c r="C377" s="19"/>
      <c r="E377" s="19"/>
      <c r="F377" s="20"/>
      <c r="W377" s="21"/>
      <c r="X377" s="21"/>
    </row>
    <row r="378" ht="15.75" customHeight="1">
      <c r="B378" s="19"/>
      <c r="C378" s="19"/>
      <c r="E378" s="19"/>
      <c r="F378" s="20"/>
      <c r="W378" s="21"/>
      <c r="X378" s="21"/>
    </row>
    <row r="379" ht="15.75" customHeight="1">
      <c r="B379" s="19"/>
      <c r="C379" s="19"/>
      <c r="E379" s="19"/>
      <c r="F379" s="20"/>
      <c r="W379" s="21"/>
      <c r="X379" s="21"/>
    </row>
    <row r="380" ht="15.75" customHeight="1">
      <c r="B380" s="19"/>
      <c r="C380" s="19"/>
      <c r="E380" s="19"/>
      <c r="F380" s="20"/>
      <c r="W380" s="21"/>
      <c r="X380" s="21"/>
    </row>
    <row r="381" ht="15.75" customHeight="1">
      <c r="B381" s="19"/>
      <c r="C381" s="19"/>
      <c r="E381" s="19"/>
      <c r="F381" s="20"/>
      <c r="W381" s="21"/>
      <c r="X381" s="21"/>
    </row>
    <row r="382" ht="15.75" customHeight="1">
      <c r="B382" s="19"/>
      <c r="C382" s="19"/>
      <c r="E382" s="19"/>
      <c r="F382" s="20"/>
      <c r="W382" s="21"/>
      <c r="X382" s="21"/>
    </row>
    <row r="383" ht="15.75" customHeight="1">
      <c r="B383" s="19"/>
      <c r="C383" s="19"/>
      <c r="E383" s="19"/>
      <c r="F383" s="20"/>
      <c r="W383" s="21"/>
      <c r="X383" s="21"/>
    </row>
    <row r="384" ht="15.75" customHeight="1">
      <c r="B384" s="19"/>
      <c r="C384" s="19"/>
      <c r="E384" s="19"/>
      <c r="F384" s="20"/>
      <c r="W384" s="21"/>
      <c r="X384" s="21"/>
    </row>
    <row r="385" ht="15.75" customHeight="1">
      <c r="B385" s="19"/>
      <c r="C385" s="19"/>
      <c r="E385" s="19"/>
      <c r="F385" s="20"/>
      <c r="W385" s="21"/>
      <c r="X385" s="21"/>
    </row>
    <row r="386" ht="15.75" customHeight="1">
      <c r="B386" s="19"/>
      <c r="C386" s="19"/>
      <c r="E386" s="19"/>
      <c r="F386" s="20"/>
      <c r="W386" s="21"/>
      <c r="X386" s="21"/>
    </row>
    <row r="387" ht="15.75" customHeight="1">
      <c r="B387" s="19"/>
      <c r="C387" s="19"/>
      <c r="E387" s="19"/>
      <c r="F387" s="20"/>
      <c r="W387" s="21"/>
      <c r="X387" s="21"/>
    </row>
    <row r="388" ht="15.75" customHeight="1">
      <c r="B388" s="19"/>
      <c r="C388" s="19"/>
      <c r="E388" s="19"/>
      <c r="F388" s="20"/>
      <c r="W388" s="21"/>
      <c r="X388" s="21"/>
    </row>
    <row r="389" ht="15.75" customHeight="1">
      <c r="B389" s="19"/>
      <c r="C389" s="19"/>
      <c r="E389" s="19"/>
      <c r="F389" s="20"/>
      <c r="W389" s="21"/>
      <c r="X389" s="21"/>
    </row>
    <row r="390" ht="15.75" customHeight="1">
      <c r="B390" s="19"/>
      <c r="C390" s="19"/>
      <c r="E390" s="19"/>
      <c r="F390" s="20"/>
      <c r="W390" s="21"/>
      <c r="X390" s="21"/>
    </row>
    <row r="391" ht="15.75" customHeight="1">
      <c r="B391" s="19"/>
      <c r="C391" s="19"/>
      <c r="E391" s="19"/>
      <c r="F391" s="20"/>
      <c r="W391" s="21"/>
      <c r="X391" s="21"/>
    </row>
    <row r="392" ht="15.75" customHeight="1">
      <c r="B392" s="19"/>
      <c r="C392" s="19"/>
      <c r="E392" s="19"/>
      <c r="F392" s="20"/>
      <c r="W392" s="21"/>
      <c r="X392" s="21"/>
    </row>
    <row r="393" ht="15.75" customHeight="1">
      <c r="B393" s="19"/>
      <c r="C393" s="19"/>
      <c r="E393" s="19"/>
      <c r="F393" s="20"/>
      <c r="W393" s="21"/>
      <c r="X393" s="21"/>
    </row>
    <row r="394" ht="15.75" customHeight="1">
      <c r="B394" s="19"/>
      <c r="C394" s="19"/>
      <c r="E394" s="19"/>
      <c r="F394" s="20"/>
      <c r="W394" s="21"/>
      <c r="X394" s="21"/>
    </row>
    <row r="395" ht="15.75" customHeight="1">
      <c r="B395" s="19"/>
      <c r="C395" s="19"/>
      <c r="E395" s="19"/>
      <c r="F395" s="20"/>
      <c r="W395" s="21"/>
      <c r="X395" s="21"/>
    </row>
    <row r="396" ht="15.75" customHeight="1">
      <c r="B396" s="19"/>
      <c r="C396" s="19"/>
      <c r="E396" s="19"/>
      <c r="F396" s="20"/>
      <c r="W396" s="21"/>
      <c r="X396" s="21"/>
    </row>
    <row r="397" ht="15.75" customHeight="1">
      <c r="B397" s="19"/>
      <c r="C397" s="19"/>
      <c r="E397" s="19"/>
      <c r="F397" s="20"/>
      <c r="W397" s="21"/>
      <c r="X397" s="21"/>
    </row>
    <row r="398" ht="15.75" customHeight="1">
      <c r="B398" s="19"/>
      <c r="C398" s="19"/>
      <c r="E398" s="19"/>
      <c r="F398" s="20"/>
      <c r="W398" s="21"/>
      <c r="X398" s="21"/>
    </row>
    <row r="399" ht="15.75" customHeight="1">
      <c r="B399" s="19"/>
      <c r="C399" s="19"/>
      <c r="E399" s="19"/>
      <c r="F399" s="20"/>
      <c r="W399" s="21"/>
      <c r="X399" s="21"/>
    </row>
    <row r="400" ht="15.75" customHeight="1">
      <c r="B400" s="19"/>
      <c r="C400" s="19"/>
      <c r="E400" s="19"/>
      <c r="F400" s="20"/>
      <c r="W400" s="21"/>
      <c r="X400" s="21"/>
    </row>
    <row r="401" ht="15.75" customHeight="1">
      <c r="B401" s="19"/>
      <c r="C401" s="19"/>
      <c r="E401" s="19"/>
      <c r="F401" s="20"/>
      <c r="W401" s="21"/>
      <c r="X401" s="21"/>
    </row>
    <row r="402" ht="15.75" customHeight="1">
      <c r="B402" s="19"/>
      <c r="C402" s="19"/>
      <c r="E402" s="19"/>
      <c r="F402" s="20"/>
      <c r="W402" s="21"/>
      <c r="X402" s="21"/>
    </row>
    <row r="403" ht="15.75" customHeight="1">
      <c r="B403" s="19"/>
      <c r="C403" s="19"/>
      <c r="E403" s="19"/>
      <c r="F403" s="20"/>
      <c r="W403" s="21"/>
      <c r="X403" s="21"/>
    </row>
    <row r="404" ht="15.75" customHeight="1">
      <c r="B404" s="19"/>
      <c r="C404" s="19"/>
      <c r="E404" s="19"/>
      <c r="F404" s="20"/>
      <c r="W404" s="21"/>
      <c r="X404" s="21"/>
    </row>
    <row r="405" ht="15.75" customHeight="1">
      <c r="B405" s="19"/>
      <c r="C405" s="19"/>
      <c r="E405" s="19"/>
      <c r="F405" s="20"/>
      <c r="W405" s="21"/>
      <c r="X405" s="21"/>
    </row>
    <row r="406" ht="15.75" customHeight="1">
      <c r="B406" s="19"/>
      <c r="C406" s="19"/>
      <c r="E406" s="19"/>
      <c r="F406" s="20"/>
      <c r="W406" s="21"/>
      <c r="X406" s="21"/>
    </row>
    <row r="407" ht="15.75" customHeight="1">
      <c r="B407" s="19"/>
      <c r="C407" s="19"/>
      <c r="E407" s="19"/>
      <c r="F407" s="20"/>
      <c r="W407" s="21"/>
      <c r="X407" s="21"/>
    </row>
    <row r="408" ht="15.75" customHeight="1">
      <c r="B408" s="19"/>
      <c r="C408" s="19"/>
      <c r="E408" s="19"/>
      <c r="F408" s="20"/>
      <c r="W408" s="21"/>
      <c r="X408" s="21"/>
    </row>
    <row r="409" ht="15.75" customHeight="1">
      <c r="B409" s="19"/>
      <c r="C409" s="19"/>
      <c r="E409" s="19"/>
      <c r="F409" s="20"/>
      <c r="W409" s="21"/>
      <c r="X409" s="21"/>
    </row>
    <row r="410" ht="15.75" customHeight="1">
      <c r="B410" s="19"/>
      <c r="C410" s="19"/>
      <c r="E410" s="19"/>
      <c r="F410" s="20"/>
      <c r="W410" s="21"/>
      <c r="X410" s="21"/>
    </row>
    <row r="411" ht="15.75" customHeight="1">
      <c r="B411" s="19"/>
      <c r="C411" s="19"/>
      <c r="E411" s="19"/>
      <c r="F411" s="20"/>
      <c r="W411" s="21"/>
      <c r="X411" s="21"/>
    </row>
    <row r="412" ht="15.75" customHeight="1">
      <c r="B412" s="19"/>
      <c r="C412" s="19"/>
      <c r="E412" s="19"/>
      <c r="F412" s="20"/>
      <c r="W412" s="21"/>
      <c r="X412" s="21"/>
    </row>
    <row r="413" ht="15.75" customHeight="1">
      <c r="B413" s="19"/>
      <c r="C413" s="19"/>
      <c r="E413" s="19"/>
      <c r="F413" s="20"/>
      <c r="W413" s="21"/>
      <c r="X413" s="21"/>
    </row>
    <row r="414" ht="15.75" customHeight="1">
      <c r="B414" s="19"/>
      <c r="C414" s="19"/>
      <c r="E414" s="19"/>
      <c r="F414" s="20"/>
      <c r="W414" s="21"/>
      <c r="X414" s="21"/>
    </row>
    <row r="415" ht="15.75" customHeight="1">
      <c r="B415" s="19"/>
      <c r="C415" s="19"/>
      <c r="E415" s="19"/>
      <c r="F415" s="20"/>
      <c r="W415" s="21"/>
      <c r="X415" s="21"/>
    </row>
    <row r="416" ht="15.75" customHeight="1">
      <c r="B416" s="19"/>
      <c r="C416" s="19"/>
      <c r="E416" s="19"/>
      <c r="F416" s="20"/>
      <c r="W416" s="21"/>
      <c r="X416" s="21"/>
    </row>
    <row r="417" ht="15.75" customHeight="1">
      <c r="B417" s="19"/>
      <c r="C417" s="19"/>
      <c r="E417" s="19"/>
      <c r="F417" s="20"/>
      <c r="W417" s="21"/>
      <c r="X417" s="21"/>
    </row>
    <row r="418" ht="15.75" customHeight="1">
      <c r="B418" s="19"/>
      <c r="C418" s="19"/>
      <c r="E418" s="19"/>
      <c r="F418" s="20"/>
      <c r="W418" s="21"/>
      <c r="X418" s="21"/>
    </row>
    <row r="419" ht="15.75" customHeight="1">
      <c r="B419" s="19"/>
      <c r="C419" s="19"/>
      <c r="E419" s="19"/>
      <c r="F419" s="20"/>
      <c r="W419" s="21"/>
      <c r="X419" s="21"/>
    </row>
    <row r="420" ht="15.75" customHeight="1">
      <c r="B420" s="19"/>
      <c r="C420" s="19"/>
      <c r="E420" s="19"/>
      <c r="F420" s="20"/>
      <c r="W420" s="21"/>
      <c r="X420" s="21"/>
    </row>
    <row r="421" ht="15.75" customHeight="1">
      <c r="B421" s="19"/>
      <c r="C421" s="19"/>
      <c r="E421" s="19"/>
      <c r="F421" s="20"/>
      <c r="W421" s="21"/>
      <c r="X421" s="21"/>
    </row>
    <row r="422" ht="15.75" customHeight="1">
      <c r="B422" s="19"/>
      <c r="C422" s="19"/>
      <c r="E422" s="19"/>
      <c r="F422" s="20"/>
      <c r="W422" s="21"/>
      <c r="X422" s="21"/>
    </row>
    <row r="423" ht="15.75" customHeight="1">
      <c r="B423" s="19"/>
      <c r="C423" s="19"/>
      <c r="E423" s="19"/>
      <c r="F423" s="20"/>
      <c r="W423" s="21"/>
      <c r="X423" s="21"/>
    </row>
    <row r="424" ht="15.75" customHeight="1">
      <c r="B424" s="19"/>
      <c r="C424" s="19"/>
      <c r="E424" s="19"/>
      <c r="F424" s="20"/>
      <c r="W424" s="21"/>
      <c r="X424" s="21"/>
    </row>
    <row r="425" ht="15.75" customHeight="1">
      <c r="B425" s="19"/>
      <c r="C425" s="19"/>
      <c r="E425" s="19"/>
      <c r="F425" s="20"/>
      <c r="W425" s="21"/>
      <c r="X425" s="21"/>
    </row>
    <row r="426" ht="15.75" customHeight="1">
      <c r="B426" s="19"/>
      <c r="C426" s="19"/>
      <c r="E426" s="19"/>
      <c r="F426" s="20"/>
      <c r="W426" s="21"/>
      <c r="X426" s="21"/>
    </row>
    <row r="427" ht="15.75" customHeight="1">
      <c r="B427" s="19"/>
      <c r="C427" s="19"/>
      <c r="E427" s="19"/>
      <c r="F427" s="20"/>
      <c r="W427" s="21"/>
      <c r="X427" s="21"/>
    </row>
    <row r="428" ht="15.75" customHeight="1">
      <c r="B428" s="19"/>
      <c r="C428" s="19"/>
      <c r="E428" s="19"/>
      <c r="F428" s="20"/>
      <c r="W428" s="21"/>
      <c r="X428" s="21"/>
    </row>
    <row r="429" ht="15.75" customHeight="1">
      <c r="B429" s="19"/>
      <c r="C429" s="19"/>
      <c r="E429" s="19"/>
      <c r="F429" s="20"/>
      <c r="W429" s="21"/>
      <c r="X429" s="21"/>
    </row>
    <row r="430" ht="15.75" customHeight="1">
      <c r="B430" s="19"/>
      <c r="C430" s="19"/>
      <c r="E430" s="19"/>
      <c r="F430" s="20"/>
      <c r="W430" s="21"/>
      <c r="X430" s="21"/>
    </row>
    <row r="431" ht="15.75" customHeight="1">
      <c r="B431" s="19"/>
      <c r="C431" s="19"/>
      <c r="E431" s="19"/>
      <c r="F431" s="20"/>
      <c r="W431" s="21"/>
      <c r="X431" s="21"/>
    </row>
    <row r="432" ht="15.75" customHeight="1">
      <c r="B432" s="19"/>
      <c r="C432" s="19"/>
      <c r="E432" s="19"/>
      <c r="F432" s="20"/>
      <c r="W432" s="21"/>
      <c r="X432" s="21"/>
    </row>
    <row r="433" ht="15.75" customHeight="1">
      <c r="B433" s="19"/>
      <c r="C433" s="19"/>
      <c r="E433" s="19"/>
      <c r="F433" s="20"/>
      <c r="W433" s="21"/>
      <c r="X433" s="21"/>
    </row>
    <row r="434" ht="15.75" customHeight="1">
      <c r="B434" s="19"/>
      <c r="C434" s="19"/>
      <c r="E434" s="19"/>
      <c r="F434" s="20"/>
      <c r="W434" s="21"/>
      <c r="X434" s="21"/>
    </row>
    <row r="435" ht="15.75" customHeight="1">
      <c r="B435" s="19"/>
      <c r="C435" s="19"/>
      <c r="E435" s="19"/>
      <c r="F435" s="20"/>
      <c r="W435" s="21"/>
      <c r="X435" s="21"/>
    </row>
    <row r="436" ht="15.75" customHeight="1">
      <c r="B436" s="19"/>
      <c r="C436" s="19"/>
      <c r="E436" s="19"/>
      <c r="F436" s="20"/>
      <c r="W436" s="21"/>
      <c r="X436" s="21"/>
    </row>
    <row r="437" ht="15.75" customHeight="1">
      <c r="B437" s="19"/>
      <c r="C437" s="19"/>
      <c r="E437" s="19"/>
      <c r="F437" s="20"/>
      <c r="W437" s="21"/>
      <c r="X437" s="21"/>
    </row>
    <row r="438" ht="15.75" customHeight="1">
      <c r="B438" s="19"/>
      <c r="C438" s="19"/>
      <c r="E438" s="19"/>
      <c r="F438" s="20"/>
      <c r="W438" s="21"/>
      <c r="X438" s="21"/>
    </row>
    <row r="439" ht="15.75" customHeight="1">
      <c r="B439" s="19"/>
      <c r="C439" s="19"/>
      <c r="E439" s="19"/>
      <c r="F439" s="20"/>
      <c r="W439" s="21"/>
      <c r="X439" s="21"/>
    </row>
    <row r="440" ht="15.75" customHeight="1">
      <c r="B440" s="19"/>
      <c r="C440" s="19"/>
      <c r="E440" s="19"/>
      <c r="F440" s="20"/>
      <c r="W440" s="21"/>
      <c r="X440" s="21"/>
    </row>
    <row r="441" ht="15.75" customHeight="1">
      <c r="B441" s="19"/>
      <c r="C441" s="19"/>
      <c r="E441" s="19"/>
      <c r="F441" s="20"/>
      <c r="W441" s="21"/>
      <c r="X441" s="21"/>
    </row>
    <row r="442" ht="15.75" customHeight="1">
      <c r="B442" s="19"/>
      <c r="C442" s="19"/>
      <c r="E442" s="19"/>
      <c r="F442" s="20"/>
      <c r="W442" s="21"/>
      <c r="X442" s="21"/>
    </row>
    <row r="443" ht="15.75" customHeight="1">
      <c r="B443" s="19"/>
      <c r="C443" s="19"/>
      <c r="E443" s="19"/>
      <c r="F443" s="20"/>
      <c r="W443" s="21"/>
      <c r="X443" s="21"/>
    </row>
    <row r="444" ht="15.75" customHeight="1">
      <c r="B444" s="19"/>
      <c r="C444" s="19"/>
      <c r="E444" s="19"/>
      <c r="F444" s="20"/>
      <c r="W444" s="21"/>
      <c r="X444" s="21"/>
    </row>
    <row r="445" ht="15.75" customHeight="1">
      <c r="B445" s="19"/>
      <c r="C445" s="19"/>
      <c r="E445" s="19"/>
      <c r="F445" s="20"/>
      <c r="W445" s="21"/>
      <c r="X445" s="21"/>
    </row>
    <row r="446" ht="15.75" customHeight="1">
      <c r="B446" s="19"/>
      <c r="C446" s="19"/>
      <c r="E446" s="19"/>
      <c r="F446" s="20"/>
      <c r="W446" s="21"/>
      <c r="X446" s="21"/>
    </row>
    <row r="447" ht="15.75" customHeight="1">
      <c r="B447" s="19"/>
      <c r="C447" s="19"/>
      <c r="E447" s="19"/>
      <c r="F447" s="20"/>
      <c r="W447" s="21"/>
      <c r="X447" s="21"/>
    </row>
    <row r="448" ht="15.75" customHeight="1">
      <c r="B448" s="19"/>
      <c r="C448" s="19"/>
      <c r="E448" s="19"/>
      <c r="F448" s="20"/>
      <c r="W448" s="21"/>
      <c r="X448" s="21"/>
    </row>
    <row r="449" ht="15.75" customHeight="1">
      <c r="B449" s="19"/>
      <c r="C449" s="19"/>
      <c r="E449" s="19"/>
      <c r="F449" s="20"/>
      <c r="W449" s="21"/>
      <c r="X449" s="21"/>
    </row>
    <row r="450" ht="15.75" customHeight="1">
      <c r="B450" s="19"/>
      <c r="C450" s="19"/>
      <c r="E450" s="19"/>
      <c r="F450" s="20"/>
      <c r="W450" s="21"/>
      <c r="X450" s="21"/>
    </row>
    <row r="451" ht="15.75" customHeight="1">
      <c r="B451" s="19"/>
      <c r="C451" s="19"/>
      <c r="E451" s="19"/>
      <c r="F451" s="20"/>
      <c r="W451" s="21"/>
      <c r="X451" s="21"/>
    </row>
    <row r="452" ht="15.75" customHeight="1">
      <c r="B452" s="19"/>
      <c r="C452" s="19"/>
      <c r="E452" s="19"/>
      <c r="F452" s="20"/>
      <c r="W452" s="21"/>
      <c r="X452" s="21"/>
    </row>
    <row r="453" ht="15.75" customHeight="1">
      <c r="B453" s="19"/>
      <c r="C453" s="19"/>
      <c r="E453" s="19"/>
      <c r="F453" s="20"/>
      <c r="W453" s="21"/>
      <c r="X453" s="21"/>
    </row>
    <row r="454" ht="15.75" customHeight="1">
      <c r="B454" s="19"/>
      <c r="C454" s="19"/>
      <c r="E454" s="19"/>
      <c r="F454" s="20"/>
      <c r="W454" s="21"/>
      <c r="X454" s="21"/>
    </row>
    <row r="455" ht="15.75" customHeight="1">
      <c r="B455" s="19"/>
      <c r="C455" s="19"/>
      <c r="E455" s="19"/>
      <c r="F455" s="20"/>
      <c r="W455" s="21"/>
      <c r="X455" s="21"/>
    </row>
    <row r="456" ht="15.75" customHeight="1">
      <c r="B456" s="19"/>
      <c r="C456" s="19"/>
      <c r="E456" s="19"/>
      <c r="F456" s="20"/>
      <c r="W456" s="21"/>
      <c r="X456" s="21"/>
    </row>
    <row r="457" ht="15.75" customHeight="1">
      <c r="B457" s="19"/>
      <c r="C457" s="19"/>
      <c r="E457" s="19"/>
      <c r="F457" s="20"/>
      <c r="W457" s="21"/>
      <c r="X457" s="21"/>
    </row>
    <row r="458" ht="15.75" customHeight="1">
      <c r="B458" s="19"/>
      <c r="C458" s="19"/>
      <c r="E458" s="19"/>
      <c r="F458" s="20"/>
      <c r="W458" s="21"/>
      <c r="X458" s="21"/>
    </row>
    <row r="459" ht="15.75" customHeight="1">
      <c r="B459" s="19"/>
      <c r="C459" s="19"/>
      <c r="E459" s="19"/>
      <c r="F459" s="20"/>
      <c r="W459" s="21"/>
      <c r="X459" s="21"/>
    </row>
    <row r="460" ht="15.75" customHeight="1">
      <c r="B460" s="19"/>
      <c r="C460" s="19"/>
      <c r="E460" s="19"/>
      <c r="F460" s="20"/>
      <c r="W460" s="21"/>
      <c r="X460" s="21"/>
    </row>
    <row r="461" ht="15.75" customHeight="1">
      <c r="B461" s="19"/>
      <c r="C461" s="19"/>
      <c r="E461" s="19"/>
      <c r="F461" s="20"/>
      <c r="W461" s="21"/>
      <c r="X461" s="21"/>
    </row>
    <row r="462" ht="15.75" customHeight="1">
      <c r="B462" s="19"/>
      <c r="C462" s="19"/>
      <c r="E462" s="19"/>
      <c r="F462" s="20"/>
      <c r="W462" s="21"/>
      <c r="X462" s="21"/>
    </row>
    <row r="463" ht="15.75" customHeight="1">
      <c r="B463" s="19"/>
      <c r="C463" s="19"/>
      <c r="E463" s="19"/>
      <c r="F463" s="20"/>
      <c r="W463" s="21"/>
      <c r="X463" s="21"/>
    </row>
    <row r="464" ht="15.75" customHeight="1">
      <c r="B464" s="19"/>
      <c r="C464" s="19"/>
      <c r="E464" s="19"/>
      <c r="F464" s="20"/>
      <c r="W464" s="21"/>
      <c r="X464" s="21"/>
    </row>
    <row r="465" ht="15.75" customHeight="1">
      <c r="B465" s="19"/>
      <c r="C465" s="19"/>
      <c r="E465" s="19"/>
      <c r="F465" s="20"/>
      <c r="W465" s="21"/>
      <c r="X465" s="21"/>
    </row>
    <row r="466" ht="15.75" customHeight="1">
      <c r="B466" s="19"/>
      <c r="C466" s="19"/>
      <c r="E466" s="19"/>
      <c r="F466" s="20"/>
      <c r="W466" s="21"/>
      <c r="X466" s="21"/>
    </row>
    <row r="467" ht="15.75" customHeight="1">
      <c r="B467" s="19"/>
      <c r="C467" s="19"/>
      <c r="E467" s="19"/>
      <c r="F467" s="20"/>
      <c r="W467" s="21"/>
      <c r="X467" s="21"/>
    </row>
    <row r="468" ht="15.75" customHeight="1">
      <c r="B468" s="19"/>
      <c r="C468" s="19"/>
      <c r="E468" s="19"/>
      <c r="F468" s="20"/>
      <c r="W468" s="21"/>
      <c r="X468" s="21"/>
    </row>
    <row r="469" ht="15.75" customHeight="1">
      <c r="B469" s="19"/>
      <c r="C469" s="19"/>
      <c r="E469" s="19"/>
      <c r="F469" s="20"/>
      <c r="W469" s="21"/>
      <c r="X469" s="21"/>
    </row>
    <row r="470" ht="15.75" customHeight="1">
      <c r="B470" s="19"/>
      <c r="C470" s="19"/>
      <c r="E470" s="19"/>
      <c r="F470" s="20"/>
      <c r="W470" s="21"/>
      <c r="X470" s="21"/>
    </row>
    <row r="471" ht="15.75" customHeight="1">
      <c r="B471" s="19"/>
      <c r="C471" s="19"/>
      <c r="E471" s="19"/>
      <c r="F471" s="20"/>
      <c r="W471" s="21"/>
      <c r="X471" s="21"/>
    </row>
    <row r="472" ht="15.75" customHeight="1">
      <c r="B472" s="19"/>
      <c r="C472" s="19"/>
      <c r="E472" s="19"/>
      <c r="F472" s="20"/>
      <c r="W472" s="21"/>
      <c r="X472" s="21"/>
    </row>
    <row r="473" ht="15.75" customHeight="1">
      <c r="B473" s="19"/>
      <c r="C473" s="19"/>
      <c r="E473" s="19"/>
      <c r="F473" s="20"/>
      <c r="W473" s="21"/>
      <c r="X473" s="21"/>
    </row>
    <row r="474" ht="15.75" customHeight="1">
      <c r="B474" s="19"/>
      <c r="C474" s="19"/>
      <c r="E474" s="19"/>
      <c r="F474" s="20"/>
      <c r="W474" s="21"/>
      <c r="X474" s="21"/>
    </row>
    <row r="475" ht="15.75" customHeight="1">
      <c r="B475" s="19"/>
      <c r="C475" s="19"/>
      <c r="E475" s="19"/>
      <c r="F475" s="20"/>
      <c r="W475" s="21"/>
      <c r="X475" s="21"/>
    </row>
    <row r="476" ht="15.75" customHeight="1">
      <c r="B476" s="19"/>
      <c r="C476" s="19"/>
      <c r="E476" s="19"/>
      <c r="F476" s="20"/>
      <c r="W476" s="21"/>
      <c r="X476" s="21"/>
    </row>
    <row r="477" ht="15.75" customHeight="1">
      <c r="B477" s="19"/>
      <c r="C477" s="19"/>
      <c r="E477" s="19"/>
      <c r="F477" s="20"/>
      <c r="W477" s="21"/>
      <c r="X477" s="21"/>
    </row>
    <row r="478" ht="15.75" customHeight="1">
      <c r="B478" s="19"/>
      <c r="C478" s="19"/>
      <c r="E478" s="19"/>
      <c r="F478" s="20"/>
      <c r="W478" s="21"/>
      <c r="X478" s="21"/>
    </row>
    <row r="479" ht="15.75" customHeight="1">
      <c r="B479" s="19"/>
      <c r="C479" s="19"/>
      <c r="E479" s="19"/>
      <c r="F479" s="20"/>
      <c r="W479" s="21"/>
      <c r="X479" s="21"/>
    </row>
    <row r="480" ht="15.75" customHeight="1">
      <c r="B480" s="19"/>
      <c r="C480" s="19"/>
      <c r="E480" s="19"/>
      <c r="F480" s="20"/>
      <c r="W480" s="21"/>
      <c r="X480" s="21"/>
    </row>
    <row r="481" ht="15.75" customHeight="1">
      <c r="B481" s="19"/>
      <c r="C481" s="19"/>
      <c r="E481" s="19"/>
      <c r="F481" s="20"/>
      <c r="W481" s="21"/>
      <c r="X481" s="21"/>
    </row>
    <row r="482" ht="15.75" customHeight="1">
      <c r="B482" s="19"/>
      <c r="C482" s="19"/>
      <c r="E482" s="19"/>
      <c r="F482" s="20"/>
      <c r="W482" s="21"/>
      <c r="X482" s="21"/>
    </row>
    <row r="483" ht="15.75" customHeight="1">
      <c r="B483" s="19"/>
      <c r="C483" s="19"/>
      <c r="E483" s="19"/>
      <c r="F483" s="20"/>
      <c r="W483" s="21"/>
      <c r="X483" s="21"/>
    </row>
    <row r="484" ht="15.75" customHeight="1">
      <c r="B484" s="19"/>
      <c r="C484" s="19"/>
      <c r="E484" s="19"/>
      <c r="F484" s="20"/>
      <c r="W484" s="21"/>
      <c r="X484" s="21"/>
    </row>
    <row r="485" ht="15.75" customHeight="1">
      <c r="B485" s="19"/>
      <c r="C485" s="19"/>
      <c r="E485" s="19"/>
      <c r="F485" s="20"/>
      <c r="W485" s="21"/>
      <c r="X485" s="21"/>
    </row>
    <row r="486" ht="15.75" customHeight="1">
      <c r="B486" s="19"/>
      <c r="C486" s="19"/>
      <c r="E486" s="19"/>
      <c r="F486" s="20"/>
      <c r="W486" s="21"/>
      <c r="X486" s="21"/>
    </row>
    <row r="487" ht="15.75" customHeight="1">
      <c r="B487" s="19"/>
      <c r="C487" s="19"/>
      <c r="E487" s="19"/>
      <c r="F487" s="20"/>
      <c r="W487" s="21"/>
      <c r="X487" s="21"/>
    </row>
    <row r="488" ht="15.75" customHeight="1">
      <c r="B488" s="19"/>
      <c r="C488" s="19"/>
      <c r="E488" s="19"/>
      <c r="F488" s="20"/>
      <c r="W488" s="21"/>
      <c r="X488" s="21"/>
    </row>
    <row r="489" ht="15.75" customHeight="1">
      <c r="B489" s="19"/>
      <c r="C489" s="19"/>
      <c r="E489" s="19"/>
      <c r="F489" s="20"/>
      <c r="W489" s="21"/>
      <c r="X489" s="21"/>
    </row>
    <row r="490" ht="15.75" customHeight="1">
      <c r="B490" s="19"/>
      <c r="C490" s="19"/>
      <c r="E490" s="19"/>
      <c r="F490" s="20"/>
      <c r="W490" s="21"/>
      <c r="X490" s="21"/>
    </row>
    <row r="491" ht="15.75" customHeight="1">
      <c r="B491" s="19"/>
      <c r="C491" s="19"/>
      <c r="E491" s="19"/>
      <c r="F491" s="20"/>
      <c r="W491" s="21"/>
      <c r="X491" s="21"/>
    </row>
    <row r="492" ht="15.75" customHeight="1">
      <c r="B492" s="19"/>
      <c r="C492" s="19"/>
      <c r="E492" s="19"/>
      <c r="F492" s="20"/>
      <c r="W492" s="21"/>
      <c r="X492" s="21"/>
    </row>
    <row r="493" ht="15.75" customHeight="1">
      <c r="B493" s="19"/>
      <c r="C493" s="19"/>
      <c r="E493" s="19"/>
      <c r="F493" s="20"/>
      <c r="W493" s="21"/>
      <c r="X493" s="21"/>
    </row>
    <row r="494" ht="15.75" customHeight="1">
      <c r="B494" s="19"/>
      <c r="C494" s="19"/>
      <c r="E494" s="19"/>
      <c r="F494" s="20"/>
      <c r="W494" s="21"/>
      <c r="X494" s="21"/>
    </row>
    <row r="495" ht="15.75" customHeight="1">
      <c r="B495" s="19"/>
      <c r="C495" s="19"/>
      <c r="E495" s="19"/>
      <c r="F495" s="20"/>
      <c r="W495" s="21"/>
      <c r="X495" s="21"/>
    </row>
    <row r="496" ht="15.75" customHeight="1">
      <c r="B496" s="19"/>
      <c r="C496" s="19"/>
      <c r="E496" s="19"/>
      <c r="F496" s="20"/>
      <c r="W496" s="21"/>
      <c r="X496" s="21"/>
    </row>
    <row r="497" ht="15.75" customHeight="1">
      <c r="B497" s="19"/>
      <c r="C497" s="19"/>
      <c r="E497" s="19"/>
      <c r="F497" s="20"/>
      <c r="W497" s="21"/>
      <c r="X497" s="21"/>
    </row>
    <row r="498" ht="15.75" customHeight="1">
      <c r="B498" s="19"/>
      <c r="C498" s="19"/>
      <c r="E498" s="19"/>
      <c r="F498" s="20"/>
      <c r="W498" s="21"/>
      <c r="X498" s="21"/>
    </row>
    <row r="499" ht="15.75" customHeight="1">
      <c r="B499" s="19"/>
      <c r="C499" s="19"/>
      <c r="E499" s="19"/>
      <c r="F499" s="20"/>
      <c r="W499" s="21"/>
      <c r="X499" s="21"/>
    </row>
    <row r="500" ht="15.75" customHeight="1">
      <c r="B500" s="19"/>
      <c r="C500" s="19"/>
      <c r="E500" s="19"/>
      <c r="F500" s="20"/>
      <c r="W500" s="21"/>
      <c r="X500" s="21"/>
    </row>
    <row r="501" ht="15.75" customHeight="1">
      <c r="B501" s="19"/>
      <c r="C501" s="19"/>
      <c r="E501" s="19"/>
      <c r="F501" s="20"/>
      <c r="W501" s="21"/>
      <c r="X501" s="21"/>
    </row>
    <row r="502" ht="15.75" customHeight="1">
      <c r="B502" s="19"/>
      <c r="C502" s="19"/>
      <c r="E502" s="19"/>
      <c r="F502" s="20"/>
      <c r="W502" s="21"/>
      <c r="X502" s="21"/>
    </row>
    <row r="503" ht="15.75" customHeight="1">
      <c r="B503" s="19"/>
      <c r="C503" s="19"/>
      <c r="E503" s="19"/>
      <c r="F503" s="20"/>
      <c r="W503" s="21"/>
      <c r="X503" s="21"/>
    </row>
    <row r="504" ht="15.75" customHeight="1">
      <c r="B504" s="19"/>
      <c r="C504" s="19"/>
      <c r="E504" s="19"/>
      <c r="F504" s="20"/>
      <c r="W504" s="21"/>
      <c r="X504" s="21"/>
    </row>
    <row r="505" ht="15.75" customHeight="1">
      <c r="B505" s="19"/>
      <c r="C505" s="19"/>
      <c r="E505" s="19"/>
      <c r="F505" s="20"/>
      <c r="W505" s="21"/>
      <c r="X505" s="21"/>
    </row>
    <row r="506" ht="15.75" customHeight="1">
      <c r="B506" s="19"/>
      <c r="C506" s="19"/>
      <c r="E506" s="19"/>
      <c r="F506" s="20"/>
      <c r="W506" s="21"/>
      <c r="X506" s="21"/>
    </row>
    <row r="507" ht="15.75" customHeight="1">
      <c r="B507" s="19"/>
      <c r="C507" s="19"/>
      <c r="E507" s="19"/>
      <c r="F507" s="20"/>
      <c r="W507" s="21"/>
      <c r="X507" s="21"/>
    </row>
    <row r="508" ht="15.75" customHeight="1">
      <c r="B508" s="19"/>
      <c r="C508" s="19"/>
      <c r="E508" s="19"/>
      <c r="F508" s="20"/>
      <c r="W508" s="21"/>
      <c r="X508" s="21"/>
    </row>
    <row r="509" ht="15.75" customHeight="1">
      <c r="B509" s="19"/>
      <c r="C509" s="19"/>
      <c r="E509" s="19"/>
      <c r="F509" s="20"/>
      <c r="W509" s="21"/>
      <c r="X509" s="21"/>
    </row>
    <row r="510" ht="15.75" customHeight="1">
      <c r="B510" s="19"/>
      <c r="C510" s="19"/>
      <c r="E510" s="19"/>
      <c r="F510" s="20"/>
      <c r="W510" s="21"/>
      <c r="X510" s="21"/>
    </row>
    <row r="511" ht="15.75" customHeight="1">
      <c r="B511" s="19"/>
      <c r="C511" s="19"/>
      <c r="E511" s="19"/>
      <c r="F511" s="20"/>
      <c r="W511" s="21"/>
      <c r="X511" s="21"/>
    </row>
    <row r="512" ht="15.75" customHeight="1">
      <c r="B512" s="19"/>
      <c r="C512" s="19"/>
      <c r="E512" s="19"/>
      <c r="F512" s="20"/>
      <c r="W512" s="21"/>
      <c r="X512" s="21"/>
    </row>
    <row r="513" ht="15.75" customHeight="1">
      <c r="B513" s="19"/>
      <c r="C513" s="19"/>
      <c r="E513" s="19"/>
      <c r="F513" s="20"/>
      <c r="W513" s="21"/>
      <c r="X513" s="21"/>
    </row>
    <row r="514" ht="15.75" customHeight="1">
      <c r="B514" s="19"/>
      <c r="C514" s="19"/>
      <c r="E514" s="19"/>
      <c r="F514" s="20"/>
      <c r="W514" s="21"/>
      <c r="X514" s="21"/>
    </row>
    <row r="515" ht="15.75" customHeight="1">
      <c r="B515" s="19"/>
      <c r="C515" s="19"/>
      <c r="E515" s="19"/>
      <c r="F515" s="20"/>
      <c r="W515" s="21"/>
      <c r="X515" s="21"/>
    </row>
    <row r="516" ht="15.75" customHeight="1">
      <c r="B516" s="19"/>
      <c r="C516" s="19"/>
      <c r="E516" s="19"/>
      <c r="F516" s="20"/>
      <c r="W516" s="21"/>
      <c r="X516" s="21"/>
    </row>
    <row r="517" ht="15.75" customHeight="1">
      <c r="B517" s="19"/>
      <c r="C517" s="19"/>
      <c r="E517" s="19"/>
      <c r="F517" s="20"/>
      <c r="W517" s="21"/>
      <c r="X517" s="21"/>
    </row>
    <row r="518" ht="15.75" customHeight="1">
      <c r="B518" s="19"/>
      <c r="C518" s="19"/>
      <c r="E518" s="19"/>
      <c r="F518" s="20"/>
      <c r="W518" s="21"/>
      <c r="X518" s="21"/>
    </row>
    <row r="519" ht="15.75" customHeight="1">
      <c r="B519" s="19"/>
      <c r="C519" s="19"/>
      <c r="E519" s="19"/>
      <c r="F519" s="20"/>
      <c r="W519" s="21"/>
      <c r="X519" s="21"/>
    </row>
    <row r="520" ht="15.75" customHeight="1">
      <c r="B520" s="19"/>
      <c r="C520" s="19"/>
      <c r="E520" s="19"/>
      <c r="F520" s="20"/>
      <c r="W520" s="21"/>
      <c r="X520" s="21"/>
    </row>
    <row r="521" ht="15.75" customHeight="1">
      <c r="B521" s="19"/>
      <c r="C521" s="19"/>
      <c r="E521" s="19"/>
      <c r="F521" s="20"/>
      <c r="W521" s="21"/>
      <c r="X521" s="21"/>
    </row>
    <row r="522" ht="15.75" customHeight="1">
      <c r="B522" s="19"/>
      <c r="C522" s="19"/>
      <c r="E522" s="19"/>
      <c r="F522" s="20"/>
      <c r="W522" s="21"/>
      <c r="X522" s="21"/>
    </row>
    <row r="523" ht="15.75" customHeight="1">
      <c r="B523" s="19"/>
      <c r="C523" s="19"/>
      <c r="E523" s="19"/>
      <c r="F523" s="20"/>
      <c r="W523" s="21"/>
      <c r="X523" s="21"/>
    </row>
    <row r="524" ht="15.75" customHeight="1">
      <c r="B524" s="19"/>
      <c r="C524" s="19"/>
      <c r="E524" s="19"/>
      <c r="F524" s="20"/>
      <c r="W524" s="21"/>
      <c r="X524" s="21"/>
    </row>
    <row r="525" ht="15.75" customHeight="1">
      <c r="B525" s="19"/>
      <c r="C525" s="19"/>
      <c r="E525" s="19"/>
      <c r="F525" s="20"/>
      <c r="W525" s="21"/>
      <c r="X525" s="21"/>
    </row>
    <row r="526" ht="15.75" customHeight="1">
      <c r="B526" s="19"/>
      <c r="C526" s="19"/>
      <c r="E526" s="19"/>
      <c r="F526" s="20"/>
      <c r="W526" s="21"/>
      <c r="X526" s="21"/>
    </row>
    <row r="527" ht="15.75" customHeight="1">
      <c r="B527" s="19"/>
      <c r="C527" s="19"/>
      <c r="E527" s="19"/>
      <c r="F527" s="20"/>
      <c r="W527" s="21"/>
      <c r="X527" s="21"/>
    </row>
    <row r="528" ht="15.75" customHeight="1">
      <c r="B528" s="19"/>
      <c r="C528" s="19"/>
      <c r="E528" s="19"/>
      <c r="F528" s="20"/>
      <c r="W528" s="21"/>
      <c r="X528" s="21"/>
    </row>
    <row r="529" ht="15.75" customHeight="1">
      <c r="B529" s="19"/>
      <c r="C529" s="19"/>
      <c r="E529" s="19"/>
      <c r="F529" s="20"/>
      <c r="W529" s="21"/>
      <c r="X529" s="21"/>
    </row>
    <row r="530" ht="15.75" customHeight="1">
      <c r="B530" s="19"/>
      <c r="C530" s="19"/>
      <c r="E530" s="19"/>
      <c r="F530" s="20"/>
      <c r="W530" s="21"/>
      <c r="X530" s="21"/>
    </row>
    <row r="531" ht="15.75" customHeight="1">
      <c r="B531" s="19"/>
      <c r="C531" s="19"/>
      <c r="E531" s="19"/>
      <c r="F531" s="20"/>
      <c r="W531" s="21"/>
      <c r="X531" s="21"/>
    </row>
    <row r="532" ht="15.75" customHeight="1">
      <c r="B532" s="19"/>
      <c r="C532" s="19"/>
      <c r="E532" s="19"/>
      <c r="F532" s="20"/>
      <c r="W532" s="21"/>
      <c r="X532" s="21"/>
    </row>
    <row r="533" ht="15.75" customHeight="1">
      <c r="B533" s="19"/>
      <c r="C533" s="19"/>
      <c r="E533" s="19"/>
      <c r="F533" s="20"/>
      <c r="W533" s="21"/>
      <c r="X533" s="21"/>
    </row>
    <row r="534" ht="15.75" customHeight="1">
      <c r="B534" s="19"/>
      <c r="C534" s="19"/>
      <c r="E534" s="19"/>
      <c r="F534" s="20"/>
      <c r="W534" s="21"/>
      <c r="X534" s="21"/>
    </row>
    <row r="535" ht="15.75" customHeight="1">
      <c r="B535" s="19"/>
      <c r="C535" s="19"/>
      <c r="E535" s="19"/>
      <c r="F535" s="20"/>
      <c r="W535" s="21"/>
      <c r="X535" s="21"/>
    </row>
    <row r="536" ht="15.75" customHeight="1">
      <c r="B536" s="19"/>
      <c r="C536" s="19"/>
      <c r="E536" s="19"/>
      <c r="F536" s="20"/>
      <c r="W536" s="21"/>
      <c r="X536" s="21"/>
    </row>
    <row r="537" ht="15.75" customHeight="1">
      <c r="B537" s="19"/>
      <c r="C537" s="19"/>
      <c r="E537" s="19"/>
      <c r="F537" s="20"/>
      <c r="W537" s="21"/>
      <c r="X537" s="21"/>
    </row>
    <row r="538" ht="15.75" customHeight="1">
      <c r="B538" s="19"/>
      <c r="C538" s="19"/>
      <c r="E538" s="19"/>
      <c r="F538" s="20"/>
      <c r="W538" s="21"/>
      <c r="X538" s="21"/>
    </row>
    <row r="539" ht="15.75" customHeight="1">
      <c r="B539" s="19"/>
      <c r="C539" s="19"/>
      <c r="E539" s="19"/>
      <c r="F539" s="20"/>
      <c r="W539" s="21"/>
      <c r="X539" s="21"/>
    </row>
    <row r="540" ht="15.75" customHeight="1">
      <c r="B540" s="19"/>
      <c r="C540" s="19"/>
      <c r="E540" s="19"/>
      <c r="F540" s="20"/>
      <c r="W540" s="21"/>
      <c r="X540" s="21"/>
    </row>
    <row r="541" ht="15.75" customHeight="1">
      <c r="B541" s="19"/>
      <c r="C541" s="19"/>
      <c r="E541" s="19"/>
      <c r="F541" s="20"/>
      <c r="W541" s="21"/>
      <c r="X541" s="21"/>
    </row>
    <row r="542" ht="15.75" customHeight="1">
      <c r="B542" s="19"/>
      <c r="C542" s="19"/>
      <c r="E542" s="19"/>
      <c r="F542" s="20"/>
      <c r="W542" s="21"/>
      <c r="X542" s="21"/>
    </row>
    <row r="543" ht="15.75" customHeight="1">
      <c r="B543" s="19"/>
      <c r="C543" s="19"/>
      <c r="E543" s="19"/>
      <c r="F543" s="20"/>
      <c r="W543" s="21"/>
      <c r="X543" s="21"/>
    </row>
    <row r="544" ht="15.75" customHeight="1">
      <c r="B544" s="19"/>
      <c r="C544" s="19"/>
      <c r="E544" s="19"/>
      <c r="F544" s="20"/>
      <c r="W544" s="21"/>
      <c r="X544" s="21"/>
    </row>
    <row r="545" ht="15.75" customHeight="1">
      <c r="B545" s="19"/>
      <c r="C545" s="19"/>
      <c r="E545" s="19"/>
      <c r="F545" s="20"/>
      <c r="W545" s="21"/>
      <c r="X545" s="21"/>
    </row>
    <row r="546" ht="15.75" customHeight="1">
      <c r="B546" s="19"/>
      <c r="C546" s="19"/>
      <c r="E546" s="19"/>
      <c r="F546" s="20"/>
      <c r="W546" s="21"/>
      <c r="X546" s="21"/>
    </row>
    <row r="547" ht="15.75" customHeight="1">
      <c r="B547" s="19"/>
      <c r="C547" s="19"/>
      <c r="E547" s="19"/>
      <c r="F547" s="20"/>
      <c r="W547" s="21"/>
      <c r="X547" s="21"/>
    </row>
    <row r="548" ht="15.75" customHeight="1">
      <c r="B548" s="19"/>
      <c r="C548" s="19"/>
      <c r="E548" s="19"/>
      <c r="F548" s="20"/>
      <c r="W548" s="21"/>
      <c r="X548" s="21"/>
    </row>
    <row r="549" ht="15.75" customHeight="1">
      <c r="B549" s="19"/>
      <c r="C549" s="19"/>
      <c r="E549" s="19"/>
      <c r="F549" s="20"/>
      <c r="W549" s="21"/>
      <c r="X549" s="21"/>
    </row>
    <row r="550" ht="15.75" customHeight="1">
      <c r="B550" s="19"/>
      <c r="C550" s="19"/>
      <c r="E550" s="19"/>
      <c r="F550" s="20"/>
      <c r="W550" s="21"/>
      <c r="X550" s="21"/>
    </row>
    <row r="551" ht="15.75" customHeight="1">
      <c r="B551" s="19"/>
      <c r="C551" s="19"/>
      <c r="E551" s="19"/>
      <c r="F551" s="20"/>
      <c r="W551" s="21"/>
      <c r="X551" s="21"/>
    </row>
    <row r="552" ht="15.75" customHeight="1">
      <c r="B552" s="19"/>
      <c r="C552" s="19"/>
      <c r="E552" s="19"/>
      <c r="F552" s="20"/>
      <c r="W552" s="21"/>
      <c r="X552" s="21"/>
    </row>
    <row r="553" ht="15.75" customHeight="1">
      <c r="B553" s="19"/>
      <c r="C553" s="19"/>
      <c r="E553" s="19"/>
      <c r="F553" s="20"/>
      <c r="W553" s="21"/>
      <c r="X553" s="21"/>
    </row>
    <row r="554" ht="15.75" customHeight="1">
      <c r="B554" s="19"/>
      <c r="C554" s="19"/>
      <c r="E554" s="19"/>
      <c r="F554" s="20"/>
      <c r="W554" s="21"/>
      <c r="X554" s="21"/>
    </row>
    <row r="555" ht="15.75" customHeight="1">
      <c r="B555" s="19"/>
      <c r="C555" s="19"/>
      <c r="E555" s="19"/>
      <c r="F555" s="20"/>
      <c r="W555" s="21"/>
      <c r="X555" s="21"/>
    </row>
    <row r="556" ht="15.75" customHeight="1">
      <c r="B556" s="19"/>
      <c r="C556" s="19"/>
      <c r="E556" s="19"/>
      <c r="F556" s="20"/>
      <c r="W556" s="21"/>
      <c r="X556" s="21"/>
    </row>
    <row r="557" ht="15.75" customHeight="1">
      <c r="B557" s="19"/>
      <c r="C557" s="19"/>
      <c r="E557" s="19"/>
      <c r="F557" s="20"/>
      <c r="W557" s="21"/>
      <c r="X557" s="21"/>
    </row>
    <row r="558" ht="15.75" customHeight="1">
      <c r="B558" s="19"/>
      <c r="C558" s="19"/>
      <c r="E558" s="19"/>
      <c r="F558" s="20"/>
      <c r="W558" s="21"/>
      <c r="X558" s="21"/>
    </row>
    <row r="559" ht="15.75" customHeight="1">
      <c r="B559" s="19"/>
      <c r="C559" s="19"/>
      <c r="E559" s="19"/>
      <c r="F559" s="20"/>
      <c r="W559" s="21"/>
      <c r="X559" s="21"/>
    </row>
    <row r="560" ht="15.75" customHeight="1">
      <c r="B560" s="19"/>
      <c r="C560" s="19"/>
      <c r="E560" s="19"/>
      <c r="F560" s="20"/>
      <c r="W560" s="21"/>
      <c r="X560" s="21"/>
    </row>
    <row r="561" ht="15.75" customHeight="1">
      <c r="B561" s="19"/>
      <c r="C561" s="19"/>
      <c r="E561" s="19"/>
      <c r="F561" s="20"/>
      <c r="W561" s="21"/>
      <c r="X561" s="21"/>
    </row>
    <row r="562" ht="15.75" customHeight="1">
      <c r="B562" s="19"/>
      <c r="C562" s="19"/>
      <c r="E562" s="19"/>
      <c r="F562" s="20"/>
      <c r="W562" s="21"/>
      <c r="X562" s="21"/>
    </row>
    <row r="563" ht="15.75" customHeight="1">
      <c r="B563" s="19"/>
      <c r="C563" s="19"/>
      <c r="E563" s="19"/>
      <c r="F563" s="20"/>
      <c r="W563" s="21"/>
      <c r="X563" s="21"/>
    </row>
    <row r="564" ht="15.75" customHeight="1">
      <c r="B564" s="19"/>
      <c r="C564" s="19"/>
      <c r="E564" s="19"/>
      <c r="F564" s="20"/>
      <c r="W564" s="21"/>
      <c r="X564" s="21"/>
    </row>
    <row r="565" ht="15.75" customHeight="1">
      <c r="B565" s="19"/>
      <c r="C565" s="19"/>
      <c r="E565" s="19"/>
      <c r="F565" s="20"/>
      <c r="W565" s="21"/>
      <c r="X565" s="21"/>
    </row>
    <row r="566" ht="15.75" customHeight="1">
      <c r="B566" s="19"/>
      <c r="C566" s="19"/>
      <c r="E566" s="19"/>
      <c r="F566" s="20"/>
      <c r="W566" s="21"/>
      <c r="X566" s="21"/>
    </row>
    <row r="567" ht="15.75" customHeight="1">
      <c r="B567" s="19"/>
      <c r="C567" s="19"/>
      <c r="E567" s="19"/>
      <c r="F567" s="20"/>
      <c r="W567" s="21"/>
      <c r="X567" s="21"/>
    </row>
    <row r="568" ht="15.75" customHeight="1">
      <c r="B568" s="19"/>
      <c r="C568" s="19"/>
      <c r="E568" s="19"/>
      <c r="F568" s="20"/>
      <c r="W568" s="21"/>
      <c r="X568" s="21"/>
    </row>
    <row r="569" ht="15.75" customHeight="1">
      <c r="B569" s="19"/>
      <c r="C569" s="19"/>
      <c r="E569" s="19"/>
      <c r="F569" s="20"/>
      <c r="W569" s="21"/>
      <c r="X569" s="21"/>
    </row>
    <row r="570" ht="15.75" customHeight="1">
      <c r="B570" s="19"/>
      <c r="C570" s="19"/>
      <c r="E570" s="19"/>
      <c r="F570" s="20"/>
      <c r="W570" s="21"/>
      <c r="X570" s="21"/>
    </row>
    <row r="571" ht="15.75" customHeight="1">
      <c r="B571" s="19"/>
      <c r="C571" s="19"/>
      <c r="E571" s="19"/>
      <c r="F571" s="20"/>
      <c r="W571" s="21"/>
      <c r="X571" s="21"/>
    </row>
    <row r="572" ht="15.75" customHeight="1">
      <c r="B572" s="19"/>
      <c r="C572" s="19"/>
      <c r="E572" s="19"/>
      <c r="F572" s="20"/>
      <c r="W572" s="21"/>
      <c r="X572" s="21"/>
    </row>
    <row r="573" ht="15.75" customHeight="1">
      <c r="B573" s="19"/>
      <c r="C573" s="19"/>
      <c r="E573" s="19"/>
      <c r="F573" s="20"/>
      <c r="W573" s="21"/>
      <c r="X573" s="21"/>
    </row>
    <row r="574" ht="15.75" customHeight="1">
      <c r="B574" s="19"/>
      <c r="C574" s="19"/>
      <c r="E574" s="19"/>
      <c r="F574" s="20"/>
      <c r="W574" s="21"/>
      <c r="X574" s="21"/>
    </row>
    <row r="575" ht="15.75" customHeight="1">
      <c r="B575" s="19"/>
      <c r="C575" s="19"/>
      <c r="E575" s="19"/>
      <c r="F575" s="20"/>
      <c r="W575" s="21"/>
      <c r="X575" s="21"/>
    </row>
    <row r="576" ht="15.75" customHeight="1">
      <c r="B576" s="19"/>
      <c r="C576" s="19"/>
      <c r="E576" s="19"/>
      <c r="F576" s="20"/>
      <c r="W576" s="21"/>
      <c r="X576" s="21"/>
    </row>
    <row r="577" ht="15.75" customHeight="1">
      <c r="B577" s="19"/>
      <c r="C577" s="19"/>
      <c r="E577" s="19"/>
      <c r="F577" s="20"/>
      <c r="W577" s="21"/>
      <c r="X577" s="21"/>
    </row>
    <row r="578" ht="15.75" customHeight="1">
      <c r="B578" s="19"/>
      <c r="C578" s="19"/>
      <c r="E578" s="19"/>
      <c r="F578" s="20"/>
      <c r="W578" s="21"/>
      <c r="X578" s="21"/>
    </row>
    <row r="579" ht="15.75" customHeight="1">
      <c r="B579" s="19"/>
      <c r="C579" s="19"/>
      <c r="E579" s="19"/>
      <c r="F579" s="20"/>
      <c r="W579" s="21"/>
      <c r="X579" s="21"/>
    </row>
    <row r="580" ht="15.75" customHeight="1">
      <c r="B580" s="19"/>
      <c r="C580" s="19"/>
      <c r="E580" s="19"/>
      <c r="F580" s="20"/>
      <c r="W580" s="21"/>
      <c r="X580" s="21"/>
    </row>
    <row r="581" ht="15.75" customHeight="1">
      <c r="B581" s="19"/>
      <c r="C581" s="19"/>
      <c r="E581" s="19"/>
      <c r="F581" s="20"/>
      <c r="W581" s="21"/>
      <c r="X581" s="21"/>
    </row>
    <row r="582" ht="15.75" customHeight="1">
      <c r="B582" s="19"/>
      <c r="C582" s="19"/>
      <c r="E582" s="19"/>
      <c r="F582" s="20"/>
      <c r="W582" s="21"/>
      <c r="X582" s="21"/>
    </row>
    <row r="583" ht="15.75" customHeight="1">
      <c r="B583" s="19"/>
      <c r="C583" s="19"/>
      <c r="E583" s="19"/>
      <c r="F583" s="20"/>
      <c r="W583" s="21"/>
      <c r="X583" s="21"/>
    </row>
    <row r="584" ht="15.75" customHeight="1">
      <c r="B584" s="19"/>
      <c r="C584" s="19"/>
      <c r="E584" s="19"/>
      <c r="F584" s="20"/>
      <c r="W584" s="21"/>
      <c r="X584" s="21"/>
    </row>
    <row r="585" ht="15.75" customHeight="1">
      <c r="B585" s="19"/>
      <c r="C585" s="19"/>
      <c r="E585" s="19"/>
      <c r="F585" s="20"/>
      <c r="W585" s="21"/>
      <c r="X585" s="21"/>
    </row>
    <row r="586" ht="15.75" customHeight="1">
      <c r="B586" s="19"/>
      <c r="C586" s="19"/>
      <c r="E586" s="19"/>
      <c r="F586" s="20"/>
      <c r="W586" s="21"/>
      <c r="X586" s="21"/>
    </row>
    <row r="587" ht="15.75" customHeight="1">
      <c r="B587" s="19"/>
      <c r="C587" s="19"/>
      <c r="E587" s="19"/>
      <c r="F587" s="20"/>
      <c r="W587" s="21"/>
      <c r="X587" s="21"/>
    </row>
    <row r="588" ht="15.75" customHeight="1">
      <c r="B588" s="19"/>
      <c r="C588" s="19"/>
      <c r="E588" s="19"/>
      <c r="F588" s="20"/>
      <c r="W588" s="21"/>
      <c r="X588" s="21"/>
    </row>
    <row r="589" ht="15.75" customHeight="1">
      <c r="B589" s="19"/>
      <c r="C589" s="19"/>
      <c r="E589" s="19"/>
      <c r="F589" s="20"/>
      <c r="W589" s="21"/>
      <c r="X589" s="21"/>
    </row>
    <row r="590" ht="15.75" customHeight="1">
      <c r="B590" s="19"/>
      <c r="C590" s="19"/>
      <c r="E590" s="19"/>
      <c r="F590" s="20"/>
      <c r="W590" s="21"/>
      <c r="X590" s="21"/>
    </row>
    <row r="591" ht="15.75" customHeight="1">
      <c r="B591" s="19"/>
      <c r="C591" s="19"/>
      <c r="E591" s="19"/>
      <c r="F591" s="20"/>
      <c r="W591" s="21"/>
      <c r="X591" s="21"/>
    </row>
    <row r="592" ht="15.75" customHeight="1">
      <c r="B592" s="19"/>
      <c r="C592" s="19"/>
      <c r="E592" s="19"/>
      <c r="F592" s="20"/>
      <c r="W592" s="21"/>
      <c r="X592" s="21"/>
    </row>
    <row r="593" ht="15.75" customHeight="1">
      <c r="B593" s="19"/>
      <c r="C593" s="19"/>
      <c r="E593" s="19"/>
      <c r="F593" s="20"/>
      <c r="W593" s="21"/>
      <c r="X593" s="21"/>
    </row>
    <row r="594" ht="15.75" customHeight="1">
      <c r="B594" s="19"/>
      <c r="C594" s="19"/>
      <c r="E594" s="19"/>
      <c r="F594" s="20"/>
      <c r="W594" s="21"/>
      <c r="X594" s="21"/>
    </row>
    <row r="595" ht="15.75" customHeight="1">
      <c r="B595" s="19"/>
      <c r="C595" s="19"/>
      <c r="E595" s="19"/>
      <c r="F595" s="20"/>
      <c r="W595" s="21"/>
      <c r="X595" s="21"/>
    </row>
    <row r="596" ht="15.75" customHeight="1">
      <c r="B596" s="19"/>
      <c r="C596" s="19"/>
      <c r="E596" s="19"/>
      <c r="F596" s="20"/>
      <c r="W596" s="21"/>
      <c r="X596" s="21"/>
    </row>
    <row r="597" ht="15.75" customHeight="1">
      <c r="B597" s="19"/>
      <c r="C597" s="19"/>
      <c r="E597" s="19"/>
      <c r="F597" s="20"/>
      <c r="W597" s="21"/>
      <c r="X597" s="21"/>
    </row>
    <row r="598" ht="15.75" customHeight="1">
      <c r="B598" s="19"/>
      <c r="C598" s="19"/>
      <c r="E598" s="19"/>
      <c r="F598" s="20"/>
      <c r="W598" s="21"/>
      <c r="X598" s="21"/>
    </row>
    <row r="599" ht="15.75" customHeight="1">
      <c r="B599" s="19"/>
      <c r="C599" s="19"/>
      <c r="E599" s="19"/>
      <c r="F599" s="20"/>
      <c r="W599" s="21"/>
      <c r="X599" s="21"/>
    </row>
    <row r="600" ht="15.75" customHeight="1">
      <c r="B600" s="19"/>
      <c r="C600" s="19"/>
      <c r="E600" s="19"/>
      <c r="F600" s="20"/>
      <c r="W600" s="21"/>
      <c r="X600" s="21"/>
    </row>
    <row r="601" ht="15.75" customHeight="1">
      <c r="B601" s="19"/>
      <c r="C601" s="19"/>
      <c r="E601" s="19"/>
      <c r="F601" s="20"/>
      <c r="W601" s="21"/>
      <c r="X601" s="21"/>
    </row>
    <row r="602" ht="15.75" customHeight="1">
      <c r="B602" s="19"/>
      <c r="C602" s="19"/>
      <c r="E602" s="19"/>
      <c r="F602" s="20"/>
      <c r="W602" s="21"/>
      <c r="X602" s="21"/>
    </row>
    <row r="603" ht="15.75" customHeight="1">
      <c r="B603" s="19"/>
      <c r="C603" s="19"/>
      <c r="E603" s="19"/>
      <c r="F603" s="20"/>
      <c r="W603" s="21"/>
      <c r="X603" s="21"/>
    </row>
    <row r="604" ht="15.75" customHeight="1">
      <c r="B604" s="19"/>
      <c r="C604" s="19"/>
      <c r="E604" s="19"/>
      <c r="F604" s="20"/>
      <c r="W604" s="21"/>
      <c r="X604" s="21"/>
    </row>
    <row r="605" ht="15.75" customHeight="1">
      <c r="B605" s="19"/>
      <c r="C605" s="19"/>
      <c r="E605" s="19"/>
      <c r="F605" s="20"/>
      <c r="W605" s="21"/>
      <c r="X605" s="21"/>
    </row>
    <row r="606" ht="15.75" customHeight="1">
      <c r="B606" s="19"/>
      <c r="C606" s="19"/>
      <c r="E606" s="19"/>
      <c r="F606" s="20"/>
      <c r="W606" s="21"/>
      <c r="X606" s="21"/>
    </row>
    <row r="607" ht="15.75" customHeight="1">
      <c r="B607" s="19"/>
      <c r="C607" s="19"/>
      <c r="E607" s="19"/>
      <c r="F607" s="20"/>
      <c r="W607" s="21"/>
      <c r="X607" s="21"/>
    </row>
    <row r="608" ht="15.75" customHeight="1">
      <c r="B608" s="19"/>
      <c r="C608" s="19"/>
      <c r="E608" s="19"/>
      <c r="F608" s="20"/>
      <c r="W608" s="21"/>
      <c r="X608" s="21"/>
    </row>
    <row r="609" ht="15.75" customHeight="1">
      <c r="B609" s="19"/>
      <c r="C609" s="19"/>
      <c r="E609" s="19"/>
      <c r="F609" s="20"/>
      <c r="W609" s="21"/>
      <c r="X609" s="21"/>
    </row>
    <row r="610" ht="15.75" customHeight="1">
      <c r="B610" s="19"/>
      <c r="C610" s="19"/>
      <c r="E610" s="19"/>
      <c r="F610" s="20"/>
      <c r="W610" s="21"/>
      <c r="X610" s="21"/>
    </row>
    <row r="611" ht="15.75" customHeight="1">
      <c r="B611" s="19"/>
      <c r="C611" s="19"/>
      <c r="E611" s="19"/>
      <c r="F611" s="20"/>
      <c r="W611" s="21"/>
      <c r="X611" s="21"/>
    </row>
    <row r="612" ht="15.75" customHeight="1">
      <c r="B612" s="19"/>
      <c r="C612" s="19"/>
      <c r="E612" s="19"/>
      <c r="F612" s="20"/>
      <c r="W612" s="21"/>
      <c r="X612" s="21"/>
    </row>
    <row r="613" ht="15.75" customHeight="1">
      <c r="B613" s="19"/>
      <c r="C613" s="19"/>
      <c r="E613" s="19"/>
      <c r="F613" s="20"/>
      <c r="W613" s="21"/>
      <c r="X613" s="21"/>
    </row>
    <row r="614" ht="15.75" customHeight="1">
      <c r="B614" s="19"/>
      <c r="C614" s="19"/>
      <c r="E614" s="19"/>
      <c r="F614" s="20"/>
      <c r="W614" s="21"/>
      <c r="X614" s="21"/>
    </row>
    <row r="615" ht="15.75" customHeight="1">
      <c r="B615" s="19"/>
      <c r="C615" s="19"/>
      <c r="E615" s="19"/>
      <c r="F615" s="20"/>
      <c r="W615" s="21"/>
      <c r="X615" s="21"/>
    </row>
    <row r="616" ht="15.75" customHeight="1">
      <c r="B616" s="19"/>
      <c r="C616" s="19"/>
      <c r="E616" s="19"/>
      <c r="F616" s="20"/>
      <c r="W616" s="21"/>
      <c r="X616" s="21"/>
    </row>
    <row r="617" ht="15.75" customHeight="1">
      <c r="B617" s="19"/>
      <c r="C617" s="19"/>
      <c r="E617" s="19"/>
      <c r="F617" s="20"/>
      <c r="W617" s="21"/>
      <c r="X617" s="21"/>
    </row>
    <row r="618" ht="15.75" customHeight="1">
      <c r="B618" s="19"/>
      <c r="C618" s="19"/>
      <c r="E618" s="19"/>
      <c r="F618" s="20"/>
      <c r="W618" s="21"/>
      <c r="X618" s="21"/>
    </row>
    <row r="619" ht="15.75" customHeight="1">
      <c r="B619" s="19"/>
      <c r="C619" s="19"/>
      <c r="E619" s="19"/>
      <c r="F619" s="20"/>
      <c r="W619" s="21"/>
      <c r="X619" s="21"/>
    </row>
    <row r="620" ht="15.75" customHeight="1">
      <c r="B620" s="19"/>
      <c r="C620" s="19"/>
      <c r="E620" s="19"/>
      <c r="F620" s="20"/>
      <c r="W620" s="21"/>
      <c r="X620" s="21"/>
    </row>
    <row r="621" ht="15.75" customHeight="1">
      <c r="B621" s="19"/>
      <c r="C621" s="19"/>
      <c r="E621" s="19"/>
      <c r="F621" s="20"/>
      <c r="W621" s="21"/>
      <c r="X621" s="21"/>
    </row>
    <row r="622" ht="15.75" customHeight="1">
      <c r="B622" s="19"/>
      <c r="C622" s="19"/>
      <c r="E622" s="19"/>
      <c r="F622" s="20"/>
      <c r="W622" s="21"/>
      <c r="X622" s="21"/>
    </row>
    <row r="623" ht="15.75" customHeight="1">
      <c r="B623" s="19"/>
      <c r="C623" s="19"/>
      <c r="E623" s="19"/>
      <c r="F623" s="20"/>
      <c r="W623" s="21"/>
      <c r="X623" s="21"/>
    </row>
    <row r="624" ht="15.75" customHeight="1">
      <c r="B624" s="19"/>
      <c r="C624" s="19"/>
      <c r="E624" s="19"/>
      <c r="F624" s="20"/>
      <c r="W624" s="21"/>
      <c r="X624" s="21"/>
    </row>
    <row r="625" ht="15.75" customHeight="1">
      <c r="B625" s="19"/>
      <c r="C625" s="19"/>
      <c r="E625" s="19"/>
      <c r="F625" s="20"/>
      <c r="W625" s="21"/>
      <c r="X625" s="21"/>
    </row>
    <row r="626" ht="15.75" customHeight="1">
      <c r="B626" s="19"/>
      <c r="C626" s="19"/>
      <c r="E626" s="19"/>
      <c r="F626" s="20"/>
      <c r="W626" s="21"/>
      <c r="X626" s="21"/>
    </row>
    <row r="627" ht="15.75" customHeight="1">
      <c r="B627" s="19"/>
      <c r="C627" s="19"/>
      <c r="E627" s="19"/>
      <c r="F627" s="20"/>
      <c r="W627" s="21"/>
      <c r="X627" s="21"/>
    </row>
    <row r="628" ht="15.75" customHeight="1">
      <c r="B628" s="19"/>
      <c r="C628" s="19"/>
      <c r="E628" s="19"/>
      <c r="F628" s="20"/>
      <c r="W628" s="21"/>
      <c r="X628" s="21"/>
    </row>
    <row r="629" ht="15.75" customHeight="1">
      <c r="B629" s="19"/>
      <c r="C629" s="19"/>
      <c r="E629" s="19"/>
      <c r="F629" s="20"/>
      <c r="W629" s="21"/>
      <c r="X629" s="21"/>
    </row>
    <row r="630" ht="15.75" customHeight="1">
      <c r="B630" s="19"/>
      <c r="C630" s="19"/>
      <c r="E630" s="19"/>
      <c r="F630" s="20"/>
      <c r="W630" s="21"/>
      <c r="X630" s="21"/>
    </row>
    <row r="631" ht="15.75" customHeight="1">
      <c r="B631" s="19"/>
      <c r="C631" s="19"/>
      <c r="E631" s="19"/>
      <c r="F631" s="20"/>
      <c r="W631" s="21"/>
      <c r="X631" s="21"/>
    </row>
    <row r="632" ht="15.75" customHeight="1">
      <c r="B632" s="19"/>
      <c r="C632" s="19"/>
      <c r="E632" s="19"/>
      <c r="F632" s="20"/>
      <c r="W632" s="21"/>
      <c r="X632" s="21"/>
    </row>
    <row r="633" ht="15.75" customHeight="1">
      <c r="B633" s="19"/>
      <c r="C633" s="19"/>
      <c r="E633" s="19"/>
      <c r="F633" s="20"/>
      <c r="W633" s="21"/>
      <c r="X633" s="21"/>
    </row>
    <row r="634" ht="15.75" customHeight="1">
      <c r="B634" s="19"/>
      <c r="C634" s="19"/>
      <c r="E634" s="19"/>
      <c r="F634" s="20"/>
      <c r="W634" s="21"/>
      <c r="X634" s="21"/>
    </row>
    <row r="635" ht="15.75" customHeight="1">
      <c r="B635" s="19"/>
      <c r="C635" s="19"/>
      <c r="E635" s="19"/>
      <c r="F635" s="20"/>
      <c r="W635" s="21"/>
      <c r="X635" s="21"/>
    </row>
    <row r="636" ht="15.75" customHeight="1">
      <c r="B636" s="19"/>
      <c r="C636" s="19"/>
      <c r="E636" s="19"/>
      <c r="F636" s="20"/>
      <c r="W636" s="21"/>
      <c r="X636" s="21"/>
    </row>
    <row r="637" ht="15.75" customHeight="1">
      <c r="B637" s="19"/>
      <c r="C637" s="19"/>
      <c r="E637" s="19"/>
      <c r="F637" s="20"/>
      <c r="W637" s="21"/>
      <c r="X637" s="21"/>
    </row>
    <row r="638" ht="15.75" customHeight="1">
      <c r="B638" s="19"/>
      <c r="C638" s="19"/>
      <c r="E638" s="19"/>
      <c r="F638" s="20"/>
      <c r="W638" s="21"/>
      <c r="X638" s="21"/>
    </row>
    <row r="639" ht="15.75" customHeight="1">
      <c r="B639" s="19"/>
      <c r="C639" s="19"/>
      <c r="E639" s="19"/>
      <c r="F639" s="20"/>
      <c r="W639" s="21"/>
      <c r="X639" s="21"/>
    </row>
    <row r="640" ht="15.75" customHeight="1">
      <c r="B640" s="19"/>
      <c r="C640" s="19"/>
      <c r="E640" s="19"/>
      <c r="F640" s="20"/>
      <c r="W640" s="21"/>
      <c r="X640" s="21"/>
    </row>
    <row r="641" ht="15.75" customHeight="1">
      <c r="B641" s="19"/>
      <c r="C641" s="19"/>
      <c r="E641" s="19"/>
      <c r="F641" s="20"/>
      <c r="W641" s="21"/>
      <c r="X641" s="21"/>
    </row>
    <row r="642" ht="15.75" customHeight="1">
      <c r="B642" s="19"/>
      <c r="C642" s="19"/>
      <c r="E642" s="19"/>
      <c r="F642" s="20"/>
      <c r="W642" s="21"/>
      <c r="X642" s="21"/>
    </row>
    <row r="643" ht="15.75" customHeight="1">
      <c r="B643" s="19"/>
      <c r="C643" s="19"/>
      <c r="E643" s="19"/>
      <c r="F643" s="20"/>
      <c r="W643" s="21"/>
      <c r="X643" s="21"/>
    </row>
    <row r="644" ht="15.75" customHeight="1">
      <c r="B644" s="19"/>
      <c r="C644" s="19"/>
      <c r="E644" s="19"/>
      <c r="F644" s="20"/>
      <c r="W644" s="21"/>
      <c r="X644" s="21"/>
    </row>
    <row r="645" ht="15.75" customHeight="1">
      <c r="B645" s="19"/>
      <c r="C645" s="19"/>
      <c r="E645" s="19"/>
      <c r="F645" s="20"/>
      <c r="W645" s="21"/>
      <c r="X645" s="21"/>
    </row>
    <row r="646" ht="15.75" customHeight="1">
      <c r="B646" s="19"/>
      <c r="C646" s="19"/>
      <c r="E646" s="19"/>
      <c r="F646" s="20"/>
      <c r="W646" s="21"/>
      <c r="X646" s="21"/>
    </row>
    <row r="647" ht="15.75" customHeight="1">
      <c r="B647" s="19"/>
      <c r="C647" s="19"/>
      <c r="E647" s="19"/>
      <c r="F647" s="20"/>
      <c r="W647" s="21"/>
      <c r="X647" s="21"/>
    </row>
    <row r="648" ht="15.75" customHeight="1">
      <c r="B648" s="19"/>
      <c r="C648" s="19"/>
      <c r="E648" s="19"/>
      <c r="F648" s="20"/>
      <c r="W648" s="21"/>
      <c r="X648" s="21"/>
    </row>
    <row r="649" ht="15.75" customHeight="1">
      <c r="B649" s="19"/>
      <c r="C649" s="19"/>
      <c r="E649" s="19"/>
      <c r="F649" s="20"/>
      <c r="W649" s="21"/>
      <c r="X649" s="21"/>
    </row>
    <row r="650" ht="15.75" customHeight="1">
      <c r="B650" s="19"/>
      <c r="C650" s="19"/>
      <c r="E650" s="19"/>
      <c r="F650" s="20"/>
      <c r="W650" s="21"/>
      <c r="X650" s="21"/>
    </row>
    <row r="651" ht="15.75" customHeight="1">
      <c r="B651" s="19"/>
      <c r="C651" s="19"/>
      <c r="E651" s="19"/>
      <c r="F651" s="20"/>
      <c r="W651" s="21"/>
      <c r="X651" s="21"/>
    </row>
    <row r="652" ht="15.75" customHeight="1">
      <c r="B652" s="19"/>
      <c r="C652" s="19"/>
      <c r="E652" s="19"/>
      <c r="F652" s="20"/>
      <c r="W652" s="21"/>
      <c r="X652" s="21"/>
    </row>
    <row r="653" ht="15.75" customHeight="1">
      <c r="B653" s="19"/>
      <c r="C653" s="19"/>
      <c r="E653" s="19"/>
      <c r="F653" s="20"/>
      <c r="W653" s="21"/>
      <c r="X653" s="21"/>
    </row>
    <row r="654" ht="15.75" customHeight="1">
      <c r="B654" s="19"/>
      <c r="C654" s="19"/>
      <c r="E654" s="19"/>
      <c r="F654" s="20"/>
      <c r="W654" s="21"/>
      <c r="X654" s="21"/>
    </row>
    <row r="655" ht="15.75" customHeight="1">
      <c r="B655" s="19"/>
      <c r="C655" s="19"/>
      <c r="E655" s="19"/>
      <c r="F655" s="20"/>
      <c r="W655" s="21"/>
      <c r="X655" s="21"/>
    </row>
    <row r="656" ht="15.75" customHeight="1">
      <c r="B656" s="19"/>
      <c r="C656" s="19"/>
      <c r="E656" s="19"/>
      <c r="F656" s="20"/>
      <c r="W656" s="21"/>
      <c r="X656" s="21"/>
    </row>
    <row r="657" ht="15.75" customHeight="1">
      <c r="B657" s="19"/>
      <c r="C657" s="19"/>
      <c r="E657" s="19"/>
      <c r="F657" s="20"/>
      <c r="W657" s="21"/>
      <c r="X657" s="21"/>
    </row>
    <row r="658" ht="15.75" customHeight="1">
      <c r="B658" s="19"/>
      <c r="C658" s="19"/>
      <c r="E658" s="19"/>
      <c r="F658" s="20"/>
      <c r="W658" s="21"/>
      <c r="X658" s="21"/>
    </row>
    <row r="659" ht="15.75" customHeight="1">
      <c r="B659" s="19"/>
      <c r="C659" s="19"/>
      <c r="E659" s="19"/>
      <c r="F659" s="20"/>
      <c r="W659" s="21"/>
      <c r="X659" s="21"/>
    </row>
    <row r="660" ht="15.75" customHeight="1">
      <c r="B660" s="19"/>
      <c r="C660" s="19"/>
      <c r="E660" s="19"/>
      <c r="F660" s="20"/>
      <c r="W660" s="21"/>
      <c r="X660" s="21"/>
    </row>
    <row r="661" ht="15.75" customHeight="1">
      <c r="B661" s="19"/>
      <c r="C661" s="19"/>
      <c r="E661" s="19"/>
      <c r="F661" s="20"/>
      <c r="W661" s="21"/>
      <c r="X661" s="21"/>
    </row>
    <row r="662" ht="15.75" customHeight="1">
      <c r="B662" s="19"/>
      <c r="C662" s="19"/>
      <c r="E662" s="19"/>
      <c r="F662" s="20"/>
      <c r="W662" s="21"/>
      <c r="X662" s="21"/>
    </row>
    <row r="663" ht="15.75" customHeight="1">
      <c r="B663" s="19"/>
      <c r="C663" s="19"/>
      <c r="E663" s="19"/>
      <c r="F663" s="20"/>
      <c r="W663" s="21"/>
      <c r="X663" s="21"/>
    </row>
    <row r="664" ht="15.75" customHeight="1">
      <c r="B664" s="19"/>
      <c r="C664" s="19"/>
      <c r="E664" s="19"/>
      <c r="F664" s="20"/>
      <c r="W664" s="21"/>
      <c r="X664" s="21"/>
    </row>
    <row r="665" ht="15.75" customHeight="1">
      <c r="B665" s="19"/>
      <c r="C665" s="19"/>
      <c r="E665" s="19"/>
      <c r="F665" s="20"/>
      <c r="W665" s="21"/>
      <c r="X665" s="21"/>
    </row>
    <row r="666" ht="15.75" customHeight="1">
      <c r="B666" s="19"/>
      <c r="C666" s="19"/>
      <c r="E666" s="19"/>
      <c r="F666" s="20"/>
      <c r="W666" s="21"/>
      <c r="X666" s="21"/>
    </row>
    <row r="667" ht="15.75" customHeight="1">
      <c r="B667" s="19"/>
      <c r="C667" s="19"/>
      <c r="E667" s="19"/>
      <c r="F667" s="20"/>
      <c r="W667" s="21"/>
      <c r="X667" s="21"/>
    </row>
    <row r="668" ht="15.75" customHeight="1">
      <c r="B668" s="19"/>
      <c r="C668" s="19"/>
      <c r="E668" s="19"/>
      <c r="F668" s="20"/>
      <c r="W668" s="21"/>
      <c r="X668" s="21"/>
    </row>
    <row r="669" ht="15.75" customHeight="1">
      <c r="B669" s="19"/>
      <c r="C669" s="19"/>
      <c r="E669" s="19"/>
      <c r="F669" s="20"/>
      <c r="W669" s="21"/>
      <c r="X669" s="21"/>
    </row>
    <row r="670" ht="15.75" customHeight="1">
      <c r="B670" s="19"/>
      <c r="C670" s="19"/>
      <c r="E670" s="19"/>
      <c r="F670" s="20"/>
      <c r="W670" s="21"/>
      <c r="X670" s="21"/>
    </row>
    <row r="671" ht="15.75" customHeight="1">
      <c r="B671" s="19"/>
      <c r="C671" s="19"/>
      <c r="E671" s="19"/>
      <c r="F671" s="20"/>
      <c r="W671" s="21"/>
      <c r="X671" s="21"/>
    </row>
    <row r="672" ht="15.75" customHeight="1">
      <c r="B672" s="19"/>
      <c r="C672" s="19"/>
      <c r="E672" s="19"/>
      <c r="F672" s="20"/>
      <c r="W672" s="21"/>
      <c r="X672" s="21"/>
    </row>
    <row r="673" ht="15.75" customHeight="1">
      <c r="B673" s="19"/>
      <c r="C673" s="19"/>
      <c r="E673" s="19"/>
      <c r="F673" s="20"/>
      <c r="W673" s="21"/>
      <c r="X673" s="21"/>
    </row>
    <row r="674" ht="15.75" customHeight="1">
      <c r="B674" s="19"/>
      <c r="C674" s="19"/>
      <c r="E674" s="19"/>
      <c r="F674" s="20"/>
      <c r="W674" s="21"/>
      <c r="X674" s="21"/>
    </row>
    <row r="675" ht="15.75" customHeight="1">
      <c r="B675" s="19"/>
      <c r="C675" s="19"/>
      <c r="E675" s="19"/>
      <c r="F675" s="20"/>
      <c r="W675" s="21"/>
      <c r="X675" s="21"/>
    </row>
    <row r="676" ht="15.75" customHeight="1">
      <c r="B676" s="19"/>
      <c r="C676" s="19"/>
      <c r="E676" s="19"/>
      <c r="F676" s="20"/>
      <c r="W676" s="21"/>
      <c r="X676" s="21"/>
    </row>
    <row r="677" ht="15.75" customHeight="1">
      <c r="B677" s="19"/>
      <c r="C677" s="19"/>
      <c r="E677" s="19"/>
      <c r="F677" s="20"/>
      <c r="W677" s="21"/>
      <c r="X677" s="21"/>
    </row>
    <row r="678" ht="15.75" customHeight="1">
      <c r="B678" s="19"/>
      <c r="C678" s="19"/>
      <c r="E678" s="19"/>
      <c r="F678" s="20"/>
      <c r="W678" s="21"/>
      <c r="X678" s="21"/>
    </row>
    <row r="679" ht="15.75" customHeight="1">
      <c r="B679" s="19"/>
      <c r="C679" s="19"/>
      <c r="E679" s="19"/>
      <c r="F679" s="20"/>
      <c r="W679" s="21"/>
      <c r="X679" s="21"/>
    </row>
    <row r="680" ht="15.75" customHeight="1">
      <c r="B680" s="19"/>
      <c r="C680" s="19"/>
      <c r="E680" s="19"/>
      <c r="F680" s="20"/>
      <c r="W680" s="21"/>
      <c r="X680" s="21"/>
    </row>
    <row r="681" ht="15.75" customHeight="1">
      <c r="B681" s="19"/>
      <c r="C681" s="19"/>
      <c r="E681" s="19"/>
      <c r="F681" s="20"/>
      <c r="W681" s="21"/>
      <c r="X681" s="21"/>
    </row>
    <row r="682" ht="15.75" customHeight="1">
      <c r="B682" s="19"/>
      <c r="C682" s="19"/>
      <c r="E682" s="19"/>
      <c r="F682" s="20"/>
      <c r="W682" s="21"/>
      <c r="X682" s="21"/>
    </row>
    <row r="683" ht="15.75" customHeight="1">
      <c r="B683" s="19"/>
      <c r="C683" s="19"/>
      <c r="E683" s="19"/>
      <c r="F683" s="20"/>
      <c r="W683" s="21"/>
      <c r="X683" s="21"/>
    </row>
    <row r="684" ht="15.75" customHeight="1">
      <c r="B684" s="19"/>
      <c r="C684" s="19"/>
      <c r="E684" s="19"/>
      <c r="F684" s="20"/>
      <c r="W684" s="21"/>
      <c r="X684" s="21"/>
    </row>
    <row r="685" ht="15.75" customHeight="1">
      <c r="B685" s="19"/>
      <c r="C685" s="19"/>
      <c r="E685" s="19"/>
      <c r="F685" s="20"/>
      <c r="W685" s="21"/>
      <c r="X685" s="21"/>
    </row>
    <row r="686" ht="15.75" customHeight="1">
      <c r="B686" s="19"/>
      <c r="C686" s="19"/>
      <c r="E686" s="19"/>
      <c r="F686" s="20"/>
      <c r="W686" s="21"/>
      <c r="X686" s="21"/>
    </row>
    <row r="687" ht="15.75" customHeight="1">
      <c r="B687" s="19"/>
      <c r="C687" s="19"/>
      <c r="E687" s="19"/>
      <c r="F687" s="20"/>
      <c r="W687" s="21"/>
      <c r="X687" s="21"/>
    </row>
    <row r="688" ht="15.75" customHeight="1">
      <c r="B688" s="19"/>
      <c r="C688" s="19"/>
      <c r="E688" s="19"/>
      <c r="F688" s="20"/>
      <c r="W688" s="21"/>
      <c r="X688" s="21"/>
    </row>
    <row r="689" ht="15.75" customHeight="1">
      <c r="B689" s="19"/>
      <c r="C689" s="19"/>
      <c r="E689" s="19"/>
      <c r="F689" s="20"/>
      <c r="W689" s="21"/>
      <c r="X689" s="21"/>
    </row>
    <row r="690" ht="15.75" customHeight="1">
      <c r="B690" s="19"/>
      <c r="C690" s="19"/>
      <c r="E690" s="19"/>
      <c r="F690" s="20"/>
      <c r="W690" s="21"/>
      <c r="X690" s="21"/>
    </row>
    <row r="691" ht="15.75" customHeight="1">
      <c r="B691" s="19"/>
      <c r="C691" s="19"/>
      <c r="E691" s="19"/>
      <c r="F691" s="20"/>
      <c r="W691" s="21"/>
      <c r="X691" s="21"/>
    </row>
    <row r="692" ht="15.75" customHeight="1">
      <c r="B692" s="19"/>
      <c r="C692" s="19"/>
      <c r="E692" s="19"/>
      <c r="F692" s="20"/>
      <c r="W692" s="21"/>
      <c r="X692" s="21"/>
    </row>
    <row r="693" ht="15.75" customHeight="1">
      <c r="B693" s="19"/>
      <c r="C693" s="19"/>
      <c r="E693" s="19"/>
      <c r="F693" s="20"/>
      <c r="W693" s="21"/>
      <c r="X693" s="21"/>
    </row>
    <row r="694" ht="15.75" customHeight="1">
      <c r="B694" s="19"/>
      <c r="C694" s="19"/>
      <c r="E694" s="19"/>
      <c r="F694" s="20"/>
      <c r="W694" s="21"/>
      <c r="X694" s="21"/>
    </row>
    <row r="695" ht="15.75" customHeight="1">
      <c r="B695" s="19"/>
      <c r="C695" s="19"/>
      <c r="E695" s="19"/>
      <c r="F695" s="20"/>
      <c r="W695" s="21"/>
      <c r="X695" s="21"/>
    </row>
    <row r="696" ht="15.75" customHeight="1">
      <c r="B696" s="19"/>
      <c r="C696" s="19"/>
      <c r="E696" s="19"/>
      <c r="F696" s="20"/>
      <c r="W696" s="21"/>
      <c r="X696" s="21"/>
    </row>
    <row r="697" ht="15.75" customHeight="1">
      <c r="B697" s="19"/>
      <c r="C697" s="19"/>
      <c r="E697" s="19"/>
      <c r="F697" s="20"/>
      <c r="W697" s="21"/>
      <c r="X697" s="21"/>
    </row>
    <row r="698" ht="15.75" customHeight="1">
      <c r="B698" s="19"/>
      <c r="C698" s="19"/>
      <c r="E698" s="19"/>
      <c r="F698" s="20"/>
      <c r="W698" s="21"/>
      <c r="X698" s="21"/>
    </row>
    <row r="699" ht="15.75" customHeight="1">
      <c r="B699" s="19"/>
      <c r="C699" s="19"/>
      <c r="E699" s="19"/>
      <c r="F699" s="20"/>
      <c r="W699" s="21"/>
      <c r="X699" s="21"/>
    </row>
    <row r="700" ht="15.75" customHeight="1">
      <c r="B700" s="19"/>
      <c r="C700" s="19"/>
      <c r="E700" s="19"/>
      <c r="F700" s="20"/>
      <c r="W700" s="21"/>
      <c r="X700" s="21"/>
    </row>
    <row r="701" ht="15.75" customHeight="1">
      <c r="B701" s="19"/>
      <c r="C701" s="19"/>
      <c r="E701" s="19"/>
      <c r="F701" s="20"/>
      <c r="W701" s="21"/>
      <c r="X701" s="21"/>
    </row>
    <row r="702" ht="15.75" customHeight="1">
      <c r="B702" s="19"/>
      <c r="C702" s="19"/>
      <c r="E702" s="19"/>
      <c r="F702" s="20"/>
      <c r="W702" s="21"/>
      <c r="X702" s="21"/>
    </row>
    <row r="703" ht="15.75" customHeight="1">
      <c r="B703" s="19"/>
      <c r="C703" s="19"/>
      <c r="E703" s="19"/>
      <c r="F703" s="20"/>
      <c r="W703" s="21"/>
      <c r="X703" s="21"/>
    </row>
    <row r="704" ht="15.75" customHeight="1">
      <c r="B704" s="19"/>
      <c r="C704" s="19"/>
      <c r="E704" s="19"/>
      <c r="F704" s="20"/>
      <c r="W704" s="21"/>
      <c r="X704" s="21"/>
    </row>
    <row r="705" ht="15.75" customHeight="1">
      <c r="B705" s="19"/>
      <c r="C705" s="19"/>
      <c r="E705" s="19"/>
      <c r="F705" s="20"/>
      <c r="W705" s="21"/>
      <c r="X705" s="21"/>
    </row>
    <row r="706" ht="15.75" customHeight="1">
      <c r="B706" s="19"/>
      <c r="C706" s="19"/>
      <c r="E706" s="19"/>
      <c r="F706" s="20"/>
      <c r="W706" s="21"/>
      <c r="X706" s="21"/>
    </row>
    <row r="707" ht="15.75" customHeight="1">
      <c r="B707" s="19"/>
      <c r="C707" s="19"/>
      <c r="E707" s="19"/>
      <c r="F707" s="20"/>
      <c r="W707" s="21"/>
      <c r="X707" s="21"/>
    </row>
    <row r="708" ht="15.75" customHeight="1">
      <c r="B708" s="19"/>
      <c r="C708" s="19"/>
      <c r="E708" s="19"/>
      <c r="F708" s="20"/>
      <c r="W708" s="21"/>
      <c r="X708" s="21"/>
    </row>
    <row r="709" ht="15.75" customHeight="1">
      <c r="B709" s="19"/>
      <c r="C709" s="19"/>
      <c r="E709" s="19"/>
      <c r="F709" s="20"/>
      <c r="W709" s="21"/>
      <c r="X709" s="21"/>
    </row>
    <row r="710" ht="15.75" customHeight="1">
      <c r="B710" s="19"/>
      <c r="C710" s="19"/>
      <c r="E710" s="19"/>
      <c r="F710" s="20"/>
      <c r="W710" s="21"/>
      <c r="X710" s="21"/>
    </row>
    <row r="711" ht="15.75" customHeight="1">
      <c r="B711" s="19"/>
      <c r="C711" s="19"/>
      <c r="E711" s="19"/>
      <c r="F711" s="20"/>
      <c r="W711" s="21"/>
      <c r="X711" s="21"/>
    </row>
    <row r="712" ht="15.75" customHeight="1">
      <c r="B712" s="19"/>
      <c r="C712" s="19"/>
      <c r="E712" s="19"/>
      <c r="F712" s="20"/>
      <c r="W712" s="21"/>
      <c r="X712" s="21"/>
    </row>
    <row r="713" ht="15.75" customHeight="1">
      <c r="B713" s="19"/>
      <c r="C713" s="19"/>
      <c r="E713" s="19"/>
      <c r="F713" s="20"/>
      <c r="W713" s="21"/>
      <c r="X713" s="21"/>
    </row>
    <row r="714" ht="15.75" customHeight="1">
      <c r="B714" s="19"/>
      <c r="C714" s="19"/>
      <c r="E714" s="19"/>
      <c r="F714" s="20"/>
      <c r="W714" s="21"/>
      <c r="X714" s="21"/>
    </row>
    <row r="715" ht="15.75" customHeight="1">
      <c r="B715" s="19"/>
      <c r="C715" s="19"/>
      <c r="E715" s="19"/>
      <c r="F715" s="20"/>
      <c r="W715" s="21"/>
      <c r="X715" s="21"/>
    </row>
    <row r="716" ht="15.75" customHeight="1">
      <c r="B716" s="19"/>
      <c r="C716" s="19"/>
      <c r="E716" s="19"/>
      <c r="F716" s="20"/>
      <c r="W716" s="21"/>
      <c r="X716" s="21"/>
    </row>
    <row r="717" ht="15.75" customHeight="1">
      <c r="B717" s="19"/>
      <c r="C717" s="19"/>
      <c r="E717" s="19"/>
      <c r="F717" s="20"/>
      <c r="W717" s="21"/>
      <c r="X717" s="21"/>
    </row>
    <row r="718" ht="15.75" customHeight="1">
      <c r="B718" s="19"/>
      <c r="C718" s="19"/>
      <c r="E718" s="19"/>
      <c r="F718" s="20"/>
      <c r="W718" s="21"/>
      <c r="X718" s="21"/>
    </row>
    <row r="719" ht="15.75" customHeight="1">
      <c r="B719" s="19"/>
      <c r="C719" s="19"/>
      <c r="E719" s="19"/>
      <c r="F719" s="20"/>
      <c r="W719" s="21"/>
      <c r="X719" s="21"/>
    </row>
    <row r="720" ht="15.75" customHeight="1">
      <c r="B720" s="19"/>
      <c r="C720" s="19"/>
      <c r="E720" s="19"/>
      <c r="F720" s="20"/>
      <c r="W720" s="21"/>
      <c r="X720" s="21"/>
    </row>
    <row r="721" ht="15.75" customHeight="1">
      <c r="B721" s="19"/>
      <c r="C721" s="19"/>
      <c r="E721" s="19"/>
      <c r="F721" s="20"/>
      <c r="W721" s="21"/>
      <c r="X721" s="21"/>
    </row>
    <row r="722" ht="15.75" customHeight="1">
      <c r="B722" s="19"/>
      <c r="C722" s="19"/>
      <c r="E722" s="19"/>
      <c r="F722" s="20"/>
      <c r="W722" s="21"/>
      <c r="X722" s="21"/>
    </row>
    <row r="723" ht="15.75" customHeight="1">
      <c r="B723" s="19"/>
      <c r="C723" s="19"/>
      <c r="E723" s="19"/>
      <c r="F723" s="20"/>
      <c r="W723" s="21"/>
      <c r="X723" s="21"/>
    </row>
    <row r="724" ht="15.75" customHeight="1">
      <c r="B724" s="19"/>
      <c r="C724" s="19"/>
      <c r="E724" s="19"/>
      <c r="F724" s="20"/>
      <c r="W724" s="21"/>
      <c r="X724" s="21"/>
    </row>
    <row r="725" ht="15.75" customHeight="1">
      <c r="B725" s="19"/>
      <c r="C725" s="19"/>
      <c r="E725" s="19"/>
      <c r="F725" s="20"/>
      <c r="W725" s="21"/>
      <c r="X725" s="21"/>
    </row>
    <row r="726" ht="15.75" customHeight="1">
      <c r="B726" s="19"/>
      <c r="C726" s="19"/>
      <c r="E726" s="19"/>
      <c r="F726" s="20"/>
      <c r="W726" s="21"/>
      <c r="X726" s="21"/>
    </row>
    <row r="727" ht="15.75" customHeight="1">
      <c r="B727" s="19"/>
      <c r="C727" s="19"/>
      <c r="E727" s="19"/>
      <c r="F727" s="20"/>
      <c r="W727" s="21"/>
      <c r="X727" s="21"/>
    </row>
    <row r="728" ht="15.75" customHeight="1">
      <c r="B728" s="19"/>
      <c r="C728" s="19"/>
      <c r="E728" s="19"/>
      <c r="F728" s="20"/>
      <c r="W728" s="21"/>
      <c r="X728" s="21"/>
    </row>
    <row r="729" ht="15.75" customHeight="1">
      <c r="B729" s="19"/>
      <c r="C729" s="19"/>
      <c r="E729" s="19"/>
      <c r="F729" s="20"/>
      <c r="W729" s="21"/>
      <c r="X729" s="21"/>
    </row>
    <row r="730" ht="15.75" customHeight="1">
      <c r="B730" s="19"/>
      <c r="C730" s="19"/>
      <c r="E730" s="19"/>
      <c r="F730" s="20"/>
      <c r="W730" s="21"/>
      <c r="X730" s="21"/>
    </row>
    <row r="731" ht="15.75" customHeight="1">
      <c r="B731" s="19"/>
      <c r="C731" s="19"/>
      <c r="E731" s="19"/>
      <c r="F731" s="20"/>
      <c r="W731" s="21"/>
      <c r="X731" s="21"/>
    </row>
    <row r="732" ht="15.75" customHeight="1">
      <c r="B732" s="19"/>
      <c r="C732" s="19"/>
      <c r="E732" s="19"/>
      <c r="F732" s="20"/>
      <c r="W732" s="21"/>
      <c r="X732" s="21"/>
    </row>
    <row r="733" ht="15.75" customHeight="1">
      <c r="B733" s="19"/>
      <c r="C733" s="19"/>
      <c r="E733" s="19"/>
      <c r="F733" s="20"/>
      <c r="W733" s="21"/>
      <c r="X733" s="21"/>
    </row>
    <row r="734" ht="15.75" customHeight="1">
      <c r="B734" s="19"/>
      <c r="C734" s="19"/>
      <c r="E734" s="19"/>
      <c r="F734" s="20"/>
      <c r="W734" s="21"/>
      <c r="X734" s="21"/>
    </row>
    <row r="735" ht="15.75" customHeight="1">
      <c r="B735" s="19"/>
      <c r="C735" s="19"/>
      <c r="E735" s="19"/>
      <c r="F735" s="20"/>
      <c r="W735" s="21"/>
      <c r="X735" s="21"/>
    </row>
    <row r="736" ht="15.75" customHeight="1">
      <c r="B736" s="19"/>
      <c r="C736" s="19"/>
      <c r="E736" s="19"/>
      <c r="F736" s="20"/>
      <c r="W736" s="21"/>
      <c r="X736" s="21"/>
    </row>
    <row r="737" ht="15.75" customHeight="1">
      <c r="B737" s="19"/>
      <c r="C737" s="19"/>
      <c r="E737" s="19"/>
      <c r="F737" s="20"/>
      <c r="W737" s="21"/>
      <c r="X737" s="21"/>
    </row>
    <row r="738" ht="15.75" customHeight="1">
      <c r="B738" s="19"/>
      <c r="C738" s="19"/>
      <c r="E738" s="19"/>
      <c r="F738" s="20"/>
      <c r="W738" s="21"/>
      <c r="X738" s="21"/>
    </row>
    <row r="739" ht="15.75" customHeight="1">
      <c r="B739" s="19"/>
      <c r="C739" s="19"/>
      <c r="E739" s="19"/>
      <c r="F739" s="20"/>
      <c r="W739" s="21"/>
      <c r="X739" s="21"/>
    </row>
    <row r="740" ht="15.75" customHeight="1">
      <c r="B740" s="19"/>
      <c r="C740" s="19"/>
      <c r="E740" s="19"/>
      <c r="F740" s="20"/>
      <c r="W740" s="21"/>
      <c r="X740" s="21"/>
    </row>
    <row r="741" ht="15.75" customHeight="1">
      <c r="B741" s="19"/>
      <c r="C741" s="19"/>
      <c r="E741" s="19"/>
      <c r="F741" s="20"/>
      <c r="W741" s="21"/>
      <c r="X741" s="21"/>
    </row>
    <row r="742" ht="15.75" customHeight="1">
      <c r="B742" s="19"/>
      <c r="C742" s="19"/>
      <c r="E742" s="19"/>
      <c r="F742" s="20"/>
      <c r="W742" s="21"/>
      <c r="X742" s="21"/>
    </row>
    <row r="743" ht="15.75" customHeight="1">
      <c r="B743" s="19"/>
      <c r="C743" s="19"/>
      <c r="E743" s="19"/>
      <c r="F743" s="20"/>
      <c r="W743" s="21"/>
      <c r="X743" s="21"/>
    </row>
    <row r="744" ht="15.75" customHeight="1">
      <c r="B744" s="19"/>
      <c r="C744" s="19"/>
      <c r="E744" s="19"/>
      <c r="F744" s="20"/>
      <c r="W744" s="21"/>
      <c r="X744" s="21"/>
    </row>
    <row r="745" ht="15.75" customHeight="1">
      <c r="B745" s="19"/>
      <c r="C745" s="19"/>
      <c r="E745" s="19"/>
      <c r="F745" s="20"/>
      <c r="W745" s="21"/>
      <c r="X745" s="21"/>
    </row>
    <row r="746" ht="15.75" customHeight="1">
      <c r="B746" s="19"/>
      <c r="C746" s="19"/>
      <c r="E746" s="19"/>
      <c r="F746" s="20"/>
      <c r="W746" s="21"/>
      <c r="X746" s="21"/>
    </row>
    <row r="747" ht="15.75" customHeight="1">
      <c r="B747" s="19"/>
      <c r="C747" s="19"/>
      <c r="E747" s="19"/>
      <c r="F747" s="20"/>
      <c r="W747" s="21"/>
      <c r="X747" s="21"/>
    </row>
    <row r="748" ht="15.75" customHeight="1">
      <c r="B748" s="19"/>
      <c r="C748" s="19"/>
      <c r="E748" s="19"/>
      <c r="F748" s="20"/>
      <c r="W748" s="21"/>
      <c r="X748" s="21"/>
    </row>
    <row r="749" ht="15.75" customHeight="1">
      <c r="B749" s="19"/>
      <c r="C749" s="19"/>
      <c r="E749" s="19"/>
      <c r="F749" s="20"/>
      <c r="W749" s="21"/>
      <c r="X749" s="21"/>
    </row>
    <row r="750" ht="15.75" customHeight="1">
      <c r="B750" s="19"/>
      <c r="C750" s="19"/>
      <c r="E750" s="19"/>
      <c r="F750" s="20"/>
      <c r="W750" s="21"/>
      <c r="X750" s="21"/>
    </row>
    <row r="751" ht="15.75" customHeight="1">
      <c r="B751" s="19"/>
      <c r="C751" s="19"/>
      <c r="E751" s="19"/>
      <c r="F751" s="20"/>
      <c r="W751" s="21"/>
      <c r="X751" s="21"/>
    </row>
    <row r="752" ht="15.75" customHeight="1">
      <c r="B752" s="19"/>
      <c r="C752" s="19"/>
      <c r="E752" s="19"/>
      <c r="F752" s="20"/>
      <c r="W752" s="21"/>
      <c r="X752" s="21"/>
    </row>
    <row r="753" ht="15.75" customHeight="1">
      <c r="B753" s="19"/>
      <c r="C753" s="19"/>
      <c r="E753" s="19"/>
      <c r="F753" s="20"/>
      <c r="W753" s="21"/>
      <c r="X753" s="21"/>
    </row>
    <row r="754" ht="15.75" customHeight="1">
      <c r="B754" s="19"/>
      <c r="C754" s="19"/>
      <c r="E754" s="19"/>
      <c r="F754" s="20"/>
      <c r="W754" s="21"/>
      <c r="X754" s="21"/>
    </row>
    <row r="755" ht="15.75" customHeight="1">
      <c r="B755" s="19"/>
      <c r="C755" s="19"/>
      <c r="E755" s="19"/>
      <c r="F755" s="20"/>
      <c r="W755" s="21"/>
      <c r="X755" s="21"/>
    </row>
    <row r="756" ht="15.75" customHeight="1">
      <c r="B756" s="19"/>
      <c r="C756" s="19"/>
      <c r="E756" s="19"/>
      <c r="F756" s="20"/>
      <c r="W756" s="21"/>
      <c r="X756" s="21"/>
    </row>
    <row r="757" ht="15.75" customHeight="1">
      <c r="B757" s="19"/>
      <c r="C757" s="19"/>
      <c r="E757" s="19"/>
      <c r="F757" s="20"/>
      <c r="W757" s="21"/>
      <c r="X757" s="21"/>
    </row>
    <row r="758" ht="15.75" customHeight="1">
      <c r="B758" s="19"/>
      <c r="C758" s="19"/>
      <c r="E758" s="19"/>
      <c r="F758" s="20"/>
      <c r="W758" s="21"/>
      <c r="X758" s="21"/>
    </row>
    <row r="759" ht="15.75" customHeight="1">
      <c r="B759" s="19"/>
      <c r="C759" s="19"/>
      <c r="E759" s="19"/>
      <c r="F759" s="20"/>
      <c r="W759" s="21"/>
      <c r="X759" s="21"/>
    </row>
    <row r="760" ht="15.75" customHeight="1">
      <c r="B760" s="19"/>
      <c r="C760" s="19"/>
      <c r="E760" s="19"/>
      <c r="F760" s="20"/>
      <c r="W760" s="21"/>
      <c r="X760" s="21"/>
    </row>
    <row r="761" ht="15.75" customHeight="1">
      <c r="B761" s="19"/>
      <c r="C761" s="19"/>
      <c r="E761" s="19"/>
      <c r="F761" s="20"/>
      <c r="W761" s="21"/>
      <c r="X761" s="21"/>
    </row>
    <row r="762" ht="15.75" customHeight="1">
      <c r="B762" s="19"/>
      <c r="C762" s="19"/>
      <c r="E762" s="19"/>
      <c r="F762" s="20"/>
      <c r="W762" s="21"/>
      <c r="X762" s="21"/>
    </row>
    <row r="763" ht="15.75" customHeight="1">
      <c r="B763" s="19"/>
      <c r="C763" s="19"/>
      <c r="E763" s="19"/>
      <c r="F763" s="20"/>
      <c r="W763" s="21"/>
      <c r="X763" s="21"/>
    </row>
    <row r="764" ht="15.75" customHeight="1">
      <c r="B764" s="19"/>
      <c r="C764" s="19"/>
      <c r="E764" s="19"/>
      <c r="F764" s="20"/>
      <c r="W764" s="21"/>
      <c r="X764" s="21"/>
    </row>
    <row r="765" ht="15.75" customHeight="1">
      <c r="B765" s="19"/>
      <c r="C765" s="19"/>
      <c r="E765" s="19"/>
      <c r="F765" s="20"/>
      <c r="W765" s="21"/>
      <c r="X765" s="21"/>
    </row>
    <row r="766" ht="15.75" customHeight="1">
      <c r="B766" s="19"/>
      <c r="C766" s="19"/>
      <c r="E766" s="19"/>
      <c r="F766" s="20"/>
      <c r="W766" s="21"/>
      <c r="X766" s="21"/>
    </row>
    <row r="767" ht="15.75" customHeight="1">
      <c r="B767" s="19"/>
      <c r="C767" s="19"/>
      <c r="E767" s="19"/>
      <c r="F767" s="20"/>
      <c r="W767" s="21"/>
      <c r="X767" s="21"/>
    </row>
    <row r="768" ht="15.75" customHeight="1">
      <c r="B768" s="19"/>
      <c r="C768" s="19"/>
      <c r="E768" s="19"/>
      <c r="F768" s="20"/>
      <c r="W768" s="21"/>
      <c r="X768" s="21"/>
    </row>
    <row r="769" ht="15.75" customHeight="1">
      <c r="B769" s="19"/>
      <c r="C769" s="19"/>
      <c r="E769" s="19"/>
      <c r="F769" s="20"/>
      <c r="W769" s="21"/>
      <c r="X769" s="21"/>
    </row>
    <row r="770" ht="15.75" customHeight="1">
      <c r="B770" s="19"/>
      <c r="C770" s="19"/>
      <c r="E770" s="19"/>
      <c r="F770" s="20"/>
      <c r="W770" s="21"/>
      <c r="X770" s="21"/>
    </row>
    <row r="771" ht="15.75" customHeight="1">
      <c r="B771" s="19"/>
      <c r="C771" s="19"/>
      <c r="E771" s="19"/>
      <c r="F771" s="20"/>
      <c r="W771" s="21"/>
      <c r="X771" s="21"/>
    </row>
    <row r="772" ht="15.75" customHeight="1">
      <c r="B772" s="19"/>
      <c r="C772" s="19"/>
      <c r="E772" s="19"/>
      <c r="F772" s="20"/>
      <c r="W772" s="21"/>
      <c r="X772" s="21"/>
    </row>
    <row r="773" ht="15.75" customHeight="1">
      <c r="B773" s="19"/>
      <c r="C773" s="19"/>
      <c r="E773" s="19"/>
      <c r="F773" s="20"/>
      <c r="W773" s="21"/>
      <c r="X773" s="21"/>
    </row>
    <row r="774" ht="15.75" customHeight="1">
      <c r="B774" s="19"/>
      <c r="C774" s="19"/>
      <c r="E774" s="19"/>
      <c r="F774" s="20"/>
      <c r="W774" s="21"/>
      <c r="X774" s="21"/>
    </row>
    <row r="775" ht="15.75" customHeight="1">
      <c r="B775" s="19"/>
      <c r="C775" s="19"/>
      <c r="E775" s="19"/>
      <c r="F775" s="20"/>
      <c r="W775" s="21"/>
      <c r="X775" s="21"/>
    </row>
    <row r="776" ht="15.75" customHeight="1">
      <c r="B776" s="19"/>
      <c r="C776" s="19"/>
      <c r="E776" s="19"/>
      <c r="F776" s="20"/>
      <c r="W776" s="21"/>
      <c r="X776" s="21"/>
    </row>
    <row r="777" ht="15.75" customHeight="1">
      <c r="B777" s="19"/>
      <c r="C777" s="19"/>
      <c r="E777" s="19"/>
      <c r="F777" s="20"/>
      <c r="W777" s="21"/>
      <c r="X777" s="21"/>
    </row>
    <row r="778" ht="15.75" customHeight="1">
      <c r="B778" s="19"/>
      <c r="C778" s="19"/>
      <c r="E778" s="19"/>
      <c r="F778" s="20"/>
      <c r="W778" s="21"/>
      <c r="X778" s="21"/>
    </row>
    <row r="779" ht="15.75" customHeight="1">
      <c r="B779" s="19"/>
      <c r="C779" s="19"/>
      <c r="E779" s="19"/>
      <c r="F779" s="20"/>
      <c r="W779" s="21"/>
      <c r="X779" s="21"/>
    </row>
    <row r="780" ht="15.75" customHeight="1">
      <c r="B780" s="19"/>
      <c r="C780" s="19"/>
      <c r="E780" s="19"/>
      <c r="F780" s="20"/>
      <c r="W780" s="21"/>
      <c r="X780" s="21"/>
    </row>
    <row r="781" ht="15.75" customHeight="1">
      <c r="B781" s="19"/>
      <c r="C781" s="19"/>
      <c r="E781" s="19"/>
      <c r="F781" s="20"/>
      <c r="W781" s="21"/>
      <c r="X781" s="21"/>
    </row>
    <row r="782" ht="15.75" customHeight="1">
      <c r="B782" s="19"/>
      <c r="C782" s="19"/>
      <c r="E782" s="19"/>
      <c r="F782" s="20"/>
      <c r="W782" s="21"/>
      <c r="X782" s="21"/>
    </row>
    <row r="783" ht="15.75" customHeight="1">
      <c r="B783" s="19"/>
      <c r="C783" s="19"/>
      <c r="E783" s="19"/>
      <c r="F783" s="20"/>
      <c r="W783" s="21"/>
      <c r="X783" s="21"/>
    </row>
    <row r="784" ht="15.75" customHeight="1">
      <c r="B784" s="19"/>
      <c r="C784" s="19"/>
      <c r="E784" s="19"/>
      <c r="F784" s="20"/>
      <c r="W784" s="21"/>
      <c r="X784" s="21"/>
    </row>
    <row r="785" ht="15.75" customHeight="1">
      <c r="B785" s="19"/>
      <c r="C785" s="19"/>
      <c r="E785" s="19"/>
      <c r="F785" s="20"/>
      <c r="W785" s="21"/>
      <c r="X785" s="21"/>
    </row>
    <row r="786" ht="15.75" customHeight="1">
      <c r="B786" s="19"/>
      <c r="C786" s="19"/>
      <c r="E786" s="19"/>
      <c r="F786" s="20"/>
      <c r="W786" s="21"/>
      <c r="X786" s="21"/>
    </row>
    <row r="787" ht="15.75" customHeight="1">
      <c r="B787" s="19"/>
      <c r="C787" s="19"/>
      <c r="E787" s="19"/>
      <c r="F787" s="20"/>
      <c r="W787" s="21"/>
      <c r="X787" s="21"/>
    </row>
    <row r="788" ht="15.75" customHeight="1">
      <c r="B788" s="19"/>
      <c r="C788" s="19"/>
      <c r="E788" s="19"/>
      <c r="F788" s="20"/>
      <c r="W788" s="21"/>
      <c r="X788" s="21"/>
    </row>
    <row r="789" ht="15.75" customHeight="1">
      <c r="B789" s="19"/>
      <c r="C789" s="19"/>
      <c r="E789" s="19"/>
      <c r="F789" s="20"/>
      <c r="W789" s="21"/>
      <c r="X789" s="21"/>
    </row>
    <row r="790" ht="15.75" customHeight="1">
      <c r="B790" s="19"/>
      <c r="C790" s="19"/>
      <c r="E790" s="19"/>
      <c r="F790" s="20"/>
      <c r="W790" s="21"/>
      <c r="X790" s="21"/>
    </row>
    <row r="791" ht="15.75" customHeight="1">
      <c r="B791" s="19"/>
      <c r="C791" s="19"/>
      <c r="E791" s="19"/>
      <c r="F791" s="20"/>
      <c r="W791" s="21"/>
      <c r="X791" s="21"/>
    </row>
    <row r="792" ht="15.75" customHeight="1">
      <c r="B792" s="19"/>
      <c r="C792" s="19"/>
      <c r="E792" s="19"/>
      <c r="F792" s="20"/>
      <c r="W792" s="21"/>
      <c r="X792" s="21"/>
    </row>
    <row r="793" ht="15.75" customHeight="1">
      <c r="B793" s="19"/>
      <c r="C793" s="19"/>
      <c r="E793" s="19"/>
      <c r="F793" s="20"/>
      <c r="W793" s="21"/>
      <c r="X793" s="21"/>
    </row>
    <row r="794" ht="15.75" customHeight="1">
      <c r="B794" s="19"/>
      <c r="C794" s="19"/>
      <c r="E794" s="19"/>
      <c r="F794" s="20"/>
      <c r="W794" s="21"/>
      <c r="X794" s="21"/>
    </row>
    <row r="795" ht="15.75" customHeight="1">
      <c r="B795" s="19"/>
      <c r="C795" s="19"/>
      <c r="E795" s="19"/>
      <c r="F795" s="20"/>
      <c r="W795" s="21"/>
      <c r="X795" s="21"/>
    </row>
    <row r="796" ht="15.75" customHeight="1">
      <c r="B796" s="19"/>
      <c r="C796" s="19"/>
      <c r="E796" s="19"/>
      <c r="F796" s="20"/>
      <c r="W796" s="21"/>
      <c r="X796" s="21"/>
    </row>
    <row r="797" ht="15.75" customHeight="1">
      <c r="B797" s="19"/>
      <c r="C797" s="19"/>
      <c r="E797" s="19"/>
      <c r="F797" s="20"/>
      <c r="W797" s="21"/>
      <c r="X797" s="21"/>
    </row>
    <row r="798" ht="15.75" customHeight="1">
      <c r="B798" s="19"/>
      <c r="C798" s="19"/>
      <c r="E798" s="19"/>
      <c r="F798" s="20"/>
      <c r="W798" s="21"/>
      <c r="X798" s="21"/>
    </row>
    <row r="799" ht="15.75" customHeight="1">
      <c r="B799" s="19"/>
      <c r="C799" s="19"/>
      <c r="E799" s="19"/>
      <c r="F799" s="20"/>
      <c r="W799" s="21"/>
      <c r="X799" s="21"/>
    </row>
    <row r="800" ht="15.75" customHeight="1">
      <c r="B800" s="19"/>
      <c r="C800" s="19"/>
      <c r="E800" s="19"/>
      <c r="F800" s="20"/>
      <c r="W800" s="21"/>
      <c r="X800" s="21"/>
    </row>
    <row r="801" ht="15.75" customHeight="1">
      <c r="B801" s="19"/>
      <c r="C801" s="19"/>
      <c r="E801" s="19"/>
      <c r="F801" s="20"/>
      <c r="W801" s="21"/>
      <c r="X801" s="21"/>
    </row>
    <row r="802" ht="15.75" customHeight="1">
      <c r="B802" s="19"/>
      <c r="C802" s="19"/>
      <c r="E802" s="19"/>
      <c r="F802" s="20"/>
      <c r="W802" s="21"/>
      <c r="X802" s="21"/>
    </row>
    <row r="803" ht="15.75" customHeight="1">
      <c r="B803" s="19"/>
      <c r="C803" s="19"/>
      <c r="E803" s="19"/>
      <c r="F803" s="20"/>
      <c r="W803" s="21"/>
      <c r="X803" s="21"/>
    </row>
    <row r="804" ht="15.75" customHeight="1">
      <c r="B804" s="19"/>
      <c r="C804" s="19"/>
      <c r="E804" s="19"/>
      <c r="F804" s="20"/>
      <c r="W804" s="21"/>
      <c r="X804" s="21"/>
    </row>
    <row r="805" ht="15.75" customHeight="1">
      <c r="B805" s="19"/>
      <c r="C805" s="19"/>
      <c r="E805" s="19"/>
      <c r="F805" s="20"/>
      <c r="W805" s="21"/>
      <c r="X805" s="21"/>
    </row>
    <row r="806" ht="15.75" customHeight="1">
      <c r="B806" s="19"/>
      <c r="C806" s="19"/>
      <c r="E806" s="19"/>
      <c r="F806" s="20"/>
      <c r="W806" s="21"/>
      <c r="X806" s="21"/>
    </row>
    <row r="807" ht="15.75" customHeight="1">
      <c r="B807" s="19"/>
      <c r="C807" s="19"/>
      <c r="E807" s="19"/>
      <c r="F807" s="20"/>
      <c r="W807" s="21"/>
      <c r="X807" s="21"/>
    </row>
    <row r="808" ht="15.75" customHeight="1">
      <c r="B808" s="19"/>
      <c r="C808" s="19"/>
      <c r="E808" s="19"/>
      <c r="F808" s="20"/>
      <c r="W808" s="21"/>
      <c r="X808" s="21"/>
    </row>
    <row r="809" ht="15.75" customHeight="1">
      <c r="B809" s="19"/>
      <c r="C809" s="19"/>
      <c r="E809" s="19"/>
      <c r="F809" s="20"/>
      <c r="W809" s="21"/>
      <c r="X809" s="21"/>
    </row>
    <row r="810" ht="15.75" customHeight="1">
      <c r="B810" s="19"/>
      <c r="C810" s="19"/>
      <c r="E810" s="19"/>
      <c r="F810" s="20"/>
      <c r="W810" s="21"/>
      <c r="X810" s="21"/>
    </row>
    <row r="811" ht="15.75" customHeight="1">
      <c r="B811" s="19"/>
      <c r="C811" s="19"/>
      <c r="E811" s="19"/>
      <c r="F811" s="20"/>
      <c r="W811" s="21"/>
      <c r="X811" s="21"/>
    </row>
    <row r="812" ht="15.75" customHeight="1">
      <c r="B812" s="19"/>
      <c r="C812" s="19"/>
      <c r="E812" s="19"/>
      <c r="F812" s="20"/>
      <c r="W812" s="21"/>
      <c r="X812" s="21"/>
    </row>
    <row r="813" ht="15.75" customHeight="1">
      <c r="B813" s="19"/>
      <c r="C813" s="19"/>
      <c r="E813" s="19"/>
      <c r="F813" s="20"/>
      <c r="W813" s="21"/>
      <c r="X813" s="21"/>
    </row>
    <row r="814" ht="15.75" customHeight="1">
      <c r="B814" s="19"/>
      <c r="C814" s="19"/>
      <c r="E814" s="19"/>
      <c r="F814" s="20"/>
      <c r="W814" s="21"/>
      <c r="X814" s="21"/>
    </row>
    <row r="815" ht="15.75" customHeight="1">
      <c r="B815" s="19"/>
      <c r="C815" s="19"/>
      <c r="E815" s="19"/>
      <c r="F815" s="20"/>
      <c r="W815" s="21"/>
      <c r="X815" s="21"/>
    </row>
    <row r="816" ht="15.75" customHeight="1">
      <c r="B816" s="19"/>
      <c r="C816" s="19"/>
      <c r="E816" s="19"/>
      <c r="F816" s="20"/>
      <c r="W816" s="21"/>
      <c r="X816" s="21"/>
    </row>
    <row r="817" ht="15.75" customHeight="1">
      <c r="B817" s="19"/>
      <c r="C817" s="19"/>
      <c r="E817" s="19"/>
      <c r="F817" s="20"/>
      <c r="W817" s="21"/>
      <c r="X817" s="21"/>
    </row>
    <row r="818" ht="15.75" customHeight="1">
      <c r="B818" s="19"/>
      <c r="C818" s="19"/>
      <c r="E818" s="19"/>
      <c r="F818" s="20"/>
      <c r="W818" s="21"/>
      <c r="X818" s="21"/>
    </row>
    <row r="819" ht="15.75" customHeight="1">
      <c r="B819" s="19"/>
      <c r="C819" s="19"/>
      <c r="E819" s="19"/>
      <c r="F819" s="20"/>
      <c r="W819" s="21"/>
      <c r="X819" s="21"/>
    </row>
    <row r="820" ht="15.75" customHeight="1">
      <c r="B820" s="19"/>
      <c r="C820" s="19"/>
      <c r="E820" s="19"/>
      <c r="F820" s="20"/>
      <c r="W820" s="21"/>
      <c r="X820" s="21"/>
    </row>
    <row r="821" ht="15.75" customHeight="1">
      <c r="B821" s="19"/>
      <c r="C821" s="19"/>
      <c r="E821" s="19"/>
      <c r="F821" s="20"/>
      <c r="W821" s="21"/>
      <c r="X821" s="21"/>
    </row>
    <row r="822" ht="15.75" customHeight="1">
      <c r="B822" s="19"/>
      <c r="C822" s="19"/>
      <c r="E822" s="19"/>
      <c r="F822" s="20"/>
      <c r="W822" s="21"/>
      <c r="X822" s="21"/>
    </row>
    <row r="823" ht="15.75" customHeight="1">
      <c r="B823" s="19"/>
      <c r="C823" s="19"/>
      <c r="E823" s="19"/>
      <c r="F823" s="20"/>
      <c r="W823" s="21"/>
      <c r="X823" s="21"/>
    </row>
    <row r="824" ht="15.75" customHeight="1">
      <c r="B824" s="19"/>
      <c r="C824" s="19"/>
      <c r="E824" s="19"/>
      <c r="F824" s="20"/>
      <c r="W824" s="21"/>
      <c r="X824" s="21"/>
    </row>
    <row r="825" ht="15.75" customHeight="1">
      <c r="B825" s="19"/>
      <c r="C825" s="19"/>
      <c r="E825" s="19"/>
      <c r="F825" s="20"/>
      <c r="W825" s="21"/>
      <c r="X825" s="21"/>
    </row>
    <row r="826" ht="15.75" customHeight="1">
      <c r="B826" s="19"/>
      <c r="C826" s="19"/>
      <c r="E826" s="19"/>
      <c r="F826" s="20"/>
      <c r="W826" s="21"/>
      <c r="X826" s="21"/>
    </row>
    <row r="827" ht="15.75" customHeight="1">
      <c r="B827" s="19"/>
      <c r="C827" s="19"/>
      <c r="E827" s="19"/>
      <c r="F827" s="20"/>
      <c r="W827" s="21"/>
      <c r="X827" s="21"/>
    </row>
    <row r="828" ht="15.75" customHeight="1">
      <c r="B828" s="19"/>
      <c r="C828" s="19"/>
      <c r="E828" s="19"/>
      <c r="F828" s="20"/>
      <c r="W828" s="21"/>
      <c r="X828" s="21"/>
    </row>
    <row r="829" ht="15.75" customHeight="1">
      <c r="B829" s="19"/>
      <c r="C829" s="19"/>
      <c r="E829" s="19"/>
      <c r="F829" s="20"/>
      <c r="W829" s="21"/>
      <c r="X829" s="21"/>
    </row>
    <row r="830" ht="15.75" customHeight="1">
      <c r="B830" s="19"/>
      <c r="C830" s="19"/>
      <c r="E830" s="19"/>
      <c r="F830" s="20"/>
      <c r="W830" s="21"/>
      <c r="X830" s="21"/>
    </row>
    <row r="831" ht="15.75" customHeight="1">
      <c r="B831" s="19"/>
      <c r="C831" s="19"/>
      <c r="E831" s="19"/>
      <c r="F831" s="20"/>
      <c r="W831" s="21"/>
      <c r="X831" s="21"/>
    </row>
    <row r="832" ht="15.75" customHeight="1">
      <c r="B832" s="19"/>
      <c r="C832" s="19"/>
      <c r="E832" s="19"/>
      <c r="F832" s="20"/>
      <c r="W832" s="21"/>
      <c r="X832" s="21"/>
    </row>
    <row r="833" ht="15.75" customHeight="1">
      <c r="B833" s="19"/>
      <c r="C833" s="19"/>
      <c r="E833" s="19"/>
      <c r="F833" s="20"/>
      <c r="W833" s="21"/>
      <c r="X833" s="21"/>
    </row>
    <row r="834" ht="15.75" customHeight="1">
      <c r="B834" s="19"/>
      <c r="C834" s="19"/>
      <c r="E834" s="19"/>
      <c r="F834" s="20"/>
      <c r="W834" s="21"/>
      <c r="X834" s="21"/>
    </row>
    <row r="835" ht="15.75" customHeight="1">
      <c r="B835" s="19"/>
      <c r="C835" s="19"/>
      <c r="E835" s="19"/>
      <c r="F835" s="20"/>
      <c r="W835" s="21"/>
      <c r="X835" s="21"/>
    </row>
    <row r="836" ht="15.75" customHeight="1">
      <c r="B836" s="19"/>
      <c r="C836" s="19"/>
      <c r="E836" s="19"/>
      <c r="F836" s="20"/>
      <c r="W836" s="21"/>
      <c r="X836" s="21"/>
    </row>
    <row r="837" ht="15.75" customHeight="1">
      <c r="B837" s="19"/>
      <c r="C837" s="19"/>
      <c r="E837" s="19"/>
      <c r="F837" s="20"/>
      <c r="W837" s="21"/>
      <c r="X837" s="21"/>
    </row>
    <row r="838" ht="15.75" customHeight="1">
      <c r="B838" s="19"/>
      <c r="C838" s="19"/>
      <c r="E838" s="19"/>
      <c r="F838" s="20"/>
      <c r="W838" s="21"/>
      <c r="X838" s="21"/>
    </row>
    <row r="839" ht="15.75" customHeight="1">
      <c r="B839" s="19"/>
      <c r="C839" s="19"/>
      <c r="E839" s="19"/>
      <c r="F839" s="20"/>
      <c r="W839" s="21"/>
      <c r="X839" s="21"/>
    </row>
    <row r="840" ht="15.75" customHeight="1">
      <c r="B840" s="19"/>
      <c r="C840" s="19"/>
      <c r="E840" s="19"/>
      <c r="F840" s="20"/>
      <c r="W840" s="21"/>
      <c r="X840" s="21"/>
    </row>
    <row r="841" ht="15.75" customHeight="1">
      <c r="B841" s="19"/>
      <c r="C841" s="19"/>
      <c r="E841" s="19"/>
      <c r="F841" s="20"/>
      <c r="W841" s="21"/>
      <c r="X841" s="21"/>
    </row>
    <row r="842" ht="15.75" customHeight="1">
      <c r="B842" s="19"/>
      <c r="C842" s="19"/>
      <c r="E842" s="19"/>
      <c r="F842" s="20"/>
      <c r="W842" s="21"/>
      <c r="X842" s="21"/>
    </row>
    <row r="843" ht="15.75" customHeight="1">
      <c r="B843" s="19"/>
      <c r="C843" s="19"/>
      <c r="E843" s="19"/>
      <c r="F843" s="20"/>
      <c r="W843" s="21"/>
      <c r="X843" s="21"/>
    </row>
    <row r="844" ht="15.75" customHeight="1">
      <c r="B844" s="19"/>
      <c r="C844" s="19"/>
      <c r="E844" s="19"/>
      <c r="F844" s="20"/>
      <c r="W844" s="21"/>
      <c r="X844" s="21"/>
    </row>
    <row r="845" ht="15.75" customHeight="1">
      <c r="B845" s="19"/>
      <c r="C845" s="19"/>
      <c r="E845" s="19"/>
      <c r="F845" s="20"/>
      <c r="W845" s="21"/>
      <c r="X845" s="21"/>
    </row>
    <row r="846" ht="15.75" customHeight="1">
      <c r="B846" s="19"/>
      <c r="C846" s="19"/>
      <c r="E846" s="19"/>
      <c r="F846" s="20"/>
      <c r="W846" s="21"/>
      <c r="X846" s="21"/>
    </row>
    <row r="847" ht="15.75" customHeight="1">
      <c r="B847" s="19"/>
      <c r="C847" s="19"/>
      <c r="E847" s="19"/>
      <c r="F847" s="20"/>
      <c r="W847" s="21"/>
      <c r="X847" s="21"/>
    </row>
    <row r="848" ht="15.75" customHeight="1">
      <c r="B848" s="19"/>
      <c r="C848" s="19"/>
      <c r="E848" s="19"/>
      <c r="F848" s="20"/>
      <c r="W848" s="21"/>
      <c r="X848" s="21"/>
    </row>
    <row r="849" ht="15.75" customHeight="1">
      <c r="B849" s="19"/>
      <c r="C849" s="19"/>
      <c r="E849" s="19"/>
      <c r="F849" s="20"/>
      <c r="W849" s="21"/>
      <c r="X849" s="21"/>
    </row>
    <row r="850" ht="15.75" customHeight="1">
      <c r="B850" s="19"/>
      <c r="C850" s="19"/>
      <c r="E850" s="19"/>
      <c r="F850" s="20"/>
      <c r="W850" s="21"/>
      <c r="X850" s="21"/>
    </row>
    <row r="851" ht="15.75" customHeight="1">
      <c r="B851" s="19"/>
      <c r="C851" s="19"/>
      <c r="E851" s="19"/>
      <c r="F851" s="20"/>
      <c r="W851" s="21"/>
      <c r="X851" s="21"/>
    </row>
    <row r="852" ht="15.75" customHeight="1">
      <c r="B852" s="19"/>
      <c r="C852" s="19"/>
      <c r="E852" s="19"/>
      <c r="F852" s="20"/>
      <c r="W852" s="21"/>
      <c r="X852" s="21"/>
    </row>
    <row r="853" ht="15.75" customHeight="1">
      <c r="B853" s="19"/>
      <c r="C853" s="19"/>
      <c r="E853" s="19"/>
      <c r="F853" s="20"/>
      <c r="W853" s="21"/>
      <c r="X853" s="21"/>
    </row>
    <row r="854" ht="15.75" customHeight="1">
      <c r="B854" s="19"/>
      <c r="C854" s="19"/>
      <c r="E854" s="19"/>
      <c r="F854" s="20"/>
      <c r="W854" s="21"/>
      <c r="X854" s="21"/>
    </row>
    <row r="855" ht="15.75" customHeight="1">
      <c r="B855" s="19"/>
      <c r="C855" s="19"/>
      <c r="E855" s="19"/>
      <c r="F855" s="20"/>
      <c r="W855" s="21"/>
      <c r="X855" s="21"/>
    </row>
    <row r="856" ht="15.75" customHeight="1">
      <c r="B856" s="19"/>
      <c r="C856" s="19"/>
      <c r="E856" s="19"/>
      <c r="F856" s="20"/>
      <c r="W856" s="21"/>
      <c r="X856" s="21"/>
    </row>
    <row r="857" ht="15.75" customHeight="1">
      <c r="B857" s="19"/>
      <c r="C857" s="19"/>
      <c r="E857" s="19"/>
      <c r="F857" s="20"/>
      <c r="W857" s="21"/>
      <c r="X857" s="21"/>
    </row>
    <row r="858" ht="15.75" customHeight="1">
      <c r="B858" s="19"/>
      <c r="C858" s="19"/>
      <c r="E858" s="19"/>
      <c r="F858" s="20"/>
      <c r="W858" s="21"/>
      <c r="X858" s="21"/>
    </row>
    <row r="859" ht="15.75" customHeight="1">
      <c r="B859" s="19"/>
      <c r="C859" s="19"/>
      <c r="E859" s="19"/>
      <c r="F859" s="20"/>
      <c r="W859" s="21"/>
      <c r="X859" s="21"/>
    </row>
    <row r="860" ht="15.75" customHeight="1">
      <c r="B860" s="19"/>
      <c r="C860" s="19"/>
      <c r="E860" s="19"/>
      <c r="F860" s="20"/>
      <c r="W860" s="21"/>
      <c r="X860" s="21"/>
    </row>
    <row r="861" ht="15.75" customHeight="1">
      <c r="B861" s="19"/>
      <c r="C861" s="19"/>
      <c r="E861" s="19"/>
      <c r="F861" s="20"/>
      <c r="W861" s="21"/>
      <c r="X861" s="21"/>
    </row>
    <row r="862" ht="15.75" customHeight="1">
      <c r="B862" s="19"/>
      <c r="C862" s="19"/>
      <c r="E862" s="19"/>
      <c r="F862" s="20"/>
      <c r="W862" s="21"/>
      <c r="X862" s="21"/>
    </row>
    <row r="863" ht="15.75" customHeight="1">
      <c r="B863" s="19"/>
      <c r="C863" s="19"/>
      <c r="E863" s="19"/>
      <c r="F863" s="20"/>
      <c r="W863" s="21"/>
      <c r="X863" s="21"/>
    </row>
    <row r="864" ht="15.75" customHeight="1">
      <c r="B864" s="19"/>
      <c r="C864" s="19"/>
      <c r="E864" s="19"/>
      <c r="F864" s="20"/>
      <c r="W864" s="21"/>
      <c r="X864" s="21"/>
    </row>
    <row r="865" ht="15.75" customHeight="1">
      <c r="B865" s="19"/>
      <c r="C865" s="19"/>
      <c r="E865" s="19"/>
      <c r="F865" s="20"/>
      <c r="W865" s="21"/>
      <c r="X865" s="21"/>
    </row>
    <row r="866" ht="15.75" customHeight="1">
      <c r="B866" s="19"/>
      <c r="C866" s="19"/>
      <c r="E866" s="19"/>
      <c r="F866" s="20"/>
      <c r="W866" s="21"/>
      <c r="X866" s="21"/>
    </row>
    <row r="867" ht="15.75" customHeight="1">
      <c r="B867" s="19"/>
      <c r="C867" s="19"/>
      <c r="E867" s="19"/>
      <c r="F867" s="20"/>
      <c r="W867" s="21"/>
      <c r="X867" s="21"/>
    </row>
    <row r="868" ht="15.75" customHeight="1">
      <c r="B868" s="19"/>
      <c r="C868" s="19"/>
      <c r="E868" s="19"/>
      <c r="F868" s="20"/>
      <c r="W868" s="21"/>
      <c r="X868" s="21"/>
    </row>
    <row r="869" ht="15.75" customHeight="1">
      <c r="B869" s="19"/>
      <c r="C869" s="19"/>
      <c r="E869" s="19"/>
      <c r="F869" s="20"/>
      <c r="W869" s="21"/>
      <c r="X869" s="21"/>
    </row>
    <row r="870" ht="15.75" customHeight="1">
      <c r="B870" s="19"/>
      <c r="C870" s="19"/>
      <c r="E870" s="19"/>
      <c r="F870" s="20"/>
      <c r="W870" s="21"/>
      <c r="X870" s="21"/>
    </row>
    <row r="871" ht="15.75" customHeight="1">
      <c r="B871" s="19"/>
      <c r="C871" s="19"/>
      <c r="E871" s="19"/>
      <c r="F871" s="20"/>
      <c r="W871" s="21"/>
      <c r="X871" s="21"/>
    </row>
    <row r="872" ht="15.75" customHeight="1">
      <c r="B872" s="19"/>
      <c r="C872" s="19"/>
      <c r="E872" s="19"/>
      <c r="F872" s="20"/>
      <c r="W872" s="21"/>
      <c r="X872" s="21"/>
    </row>
    <row r="873" ht="15.75" customHeight="1">
      <c r="B873" s="19"/>
      <c r="C873" s="19"/>
      <c r="E873" s="19"/>
      <c r="F873" s="20"/>
      <c r="W873" s="21"/>
      <c r="X873" s="21"/>
    </row>
    <row r="874" ht="15.75" customHeight="1">
      <c r="B874" s="19"/>
      <c r="C874" s="19"/>
      <c r="E874" s="19"/>
      <c r="F874" s="20"/>
      <c r="W874" s="21"/>
      <c r="X874" s="21"/>
    </row>
    <row r="875" ht="15.75" customHeight="1">
      <c r="B875" s="19"/>
      <c r="C875" s="19"/>
      <c r="E875" s="19"/>
      <c r="F875" s="20"/>
      <c r="W875" s="21"/>
      <c r="X875" s="21"/>
    </row>
    <row r="876" ht="15.75" customHeight="1">
      <c r="B876" s="19"/>
      <c r="C876" s="19"/>
      <c r="E876" s="19"/>
      <c r="F876" s="20"/>
      <c r="W876" s="21"/>
      <c r="X876" s="21"/>
    </row>
    <row r="877" ht="15.75" customHeight="1">
      <c r="B877" s="19"/>
      <c r="C877" s="19"/>
      <c r="E877" s="19"/>
      <c r="F877" s="20"/>
      <c r="W877" s="21"/>
      <c r="X877" s="21"/>
    </row>
    <row r="878" ht="15.75" customHeight="1">
      <c r="B878" s="19"/>
      <c r="C878" s="19"/>
      <c r="E878" s="19"/>
      <c r="F878" s="20"/>
      <c r="W878" s="21"/>
      <c r="X878" s="21"/>
    </row>
    <row r="879" ht="15.75" customHeight="1">
      <c r="B879" s="19"/>
      <c r="C879" s="19"/>
      <c r="E879" s="19"/>
      <c r="F879" s="20"/>
      <c r="W879" s="21"/>
      <c r="X879" s="21"/>
    </row>
    <row r="880" ht="15.75" customHeight="1">
      <c r="B880" s="19"/>
      <c r="C880" s="19"/>
      <c r="E880" s="19"/>
      <c r="F880" s="20"/>
      <c r="W880" s="21"/>
      <c r="X880" s="21"/>
    </row>
    <row r="881" ht="15.75" customHeight="1">
      <c r="B881" s="19"/>
      <c r="C881" s="19"/>
      <c r="E881" s="19"/>
      <c r="F881" s="20"/>
      <c r="W881" s="21"/>
      <c r="X881" s="21"/>
    </row>
    <row r="882" ht="15.75" customHeight="1">
      <c r="B882" s="19"/>
      <c r="C882" s="19"/>
      <c r="E882" s="19"/>
      <c r="F882" s="20"/>
      <c r="W882" s="21"/>
      <c r="X882" s="21"/>
    </row>
    <row r="883" ht="15.75" customHeight="1">
      <c r="B883" s="19"/>
      <c r="C883" s="19"/>
      <c r="E883" s="19"/>
      <c r="F883" s="20"/>
      <c r="W883" s="21"/>
      <c r="X883" s="21"/>
    </row>
    <row r="884" ht="15.75" customHeight="1">
      <c r="B884" s="19"/>
      <c r="C884" s="19"/>
      <c r="E884" s="19"/>
      <c r="F884" s="20"/>
      <c r="W884" s="21"/>
      <c r="X884" s="21"/>
    </row>
    <row r="885" ht="15.75" customHeight="1">
      <c r="B885" s="19"/>
      <c r="C885" s="19"/>
      <c r="E885" s="19"/>
      <c r="F885" s="20"/>
      <c r="W885" s="21"/>
      <c r="X885" s="21"/>
    </row>
    <row r="886" ht="15.75" customHeight="1">
      <c r="B886" s="19"/>
      <c r="C886" s="19"/>
      <c r="E886" s="19"/>
      <c r="F886" s="20"/>
      <c r="W886" s="21"/>
      <c r="X886" s="21"/>
    </row>
    <row r="887" ht="15.75" customHeight="1">
      <c r="B887" s="19"/>
      <c r="C887" s="19"/>
      <c r="E887" s="19"/>
      <c r="F887" s="20"/>
      <c r="W887" s="21"/>
      <c r="X887" s="21"/>
    </row>
    <row r="888" ht="15.75" customHeight="1">
      <c r="B888" s="19"/>
      <c r="C888" s="19"/>
      <c r="E888" s="19"/>
      <c r="F888" s="20"/>
      <c r="W888" s="21"/>
      <c r="X888" s="21"/>
    </row>
    <row r="889" ht="15.75" customHeight="1">
      <c r="B889" s="19"/>
      <c r="C889" s="19"/>
      <c r="E889" s="19"/>
      <c r="F889" s="20"/>
      <c r="W889" s="21"/>
      <c r="X889" s="21"/>
    </row>
    <row r="890" ht="15.75" customHeight="1">
      <c r="B890" s="19"/>
      <c r="C890" s="19"/>
      <c r="E890" s="19"/>
      <c r="F890" s="20"/>
      <c r="W890" s="21"/>
      <c r="X890" s="21"/>
    </row>
    <row r="891" ht="15.75" customHeight="1">
      <c r="B891" s="19"/>
      <c r="C891" s="19"/>
      <c r="E891" s="19"/>
      <c r="F891" s="20"/>
      <c r="W891" s="21"/>
      <c r="X891" s="21"/>
    </row>
    <row r="892" ht="15.75" customHeight="1">
      <c r="B892" s="19"/>
      <c r="C892" s="19"/>
      <c r="E892" s="19"/>
      <c r="F892" s="20"/>
      <c r="W892" s="21"/>
      <c r="X892" s="21"/>
    </row>
    <row r="893" ht="15.75" customHeight="1">
      <c r="B893" s="19"/>
      <c r="C893" s="19"/>
      <c r="E893" s="19"/>
      <c r="F893" s="20"/>
      <c r="W893" s="21"/>
      <c r="X893" s="21"/>
    </row>
    <row r="894" ht="15.75" customHeight="1">
      <c r="B894" s="19"/>
      <c r="C894" s="19"/>
      <c r="E894" s="19"/>
      <c r="F894" s="20"/>
      <c r="W894" s="21"/>
      <c r="X894" s="21"/>
    </row>
    <row r="895" ht="15.75" customHeight="1">
      <c r="B895" s="19"/>
      <c r="C895" s="19"/>
      <c r="E895" s="19"/>
      <c r="F895" s="20"/>
      <c r="W895" s="21"/>
      <c r="X895" s="21"/>
    </row>
    <row r="896" ht="15.75" customHeight="1">
      <c r="B896" s="19"/>
      <c r="C896" s="19"/>
      <c r="E896" s="19"/>
      <c r="F896" s="20"/>
      <c r="W896" s="21"/>
      <c r="X896" s="21"/>
    </row>
    <row r="897" ht="15.75" customHeight="1">
      <c r="B897" s="19"/>
      <c r="C897" s="19"/>
      <c r="E897" s="19"/>
      <c r="F897" s="20"/>
      <c r="W897" s="21"/>
      <c r="X897" s="21"/>
    </row>
    <row r="898" ht="15.75" customHeight="1">
      <c r="B898" s="19"/>
      <c r="C898" s="19"/>
      <c r="E898" s="19"/>
      <c r="F898" s="20"/>
      <c r="W898" s="21"/>
      <c r="X898" s="21"/>
    </row>
    <row r="899" ht="15.75" customHeight="1">
      <c r="B899" s="19"/>
      <c r="C899" s="19"/>
      <c r="E899" s="19"/>
      <c r="F899" s="20"/>
      <c r="W899" s="21"/>
      <c r="X899" s="21"/>
    </row>
    <row r="900" ht="15.75" customHeight="1">
      <c r="B900" s="19"/>
      <c r="C900" s="19"/>
      <c r="E900" s="19"/>
      <c r="F900" s="20"/>
      <c r="W900" s="21"/>
      <c r="X900" s="21"/>
    </row>
    <row r="901" ht="15.75" customHeight="1">
      <c r="B901" s="19"/>
      <c r="C901" s="19"/>
      <c r="E901" s="19"/>
      <c r="F901" s="20"/>
      <c r="W901" s="21"/>
      <c r="X901" s="21"/>
    </row>
    <row r="902" ht="15.75" customHeight="1">
      <c r="B902" s="19"/>
      <c r="C902" s="19"/>
      <c r="E902" s="19"/>
      <c r="F902" s="20"/>
      <c r="W902" s="21"/>
      <c r="X902" s="21"/>
    </row>
    <row r="903" ht="15.75" customHeight="1">
      <c r="B903" s="19"/>
      <c r="C903" s="19"/>
      <c r="E903" s="19"/>
      <c r="F903" s="20"/>
      <c r="W903" s="21"/>
      <c r="X903" s="21"/>
    </row>
    <row r="904" ht="15.75" customHeight="1">
      <c r="B904" s="19"/>
      <c r="C904" s="19"/>
      <c r="E904" s="19"/>
      <c r="F904" s="20"/>
      <c r="W904" s="21"/>
      <c r="X904" s="21"/>
    </row>
    <row r="905" ht="15.75" customHeight="1">
      <c r="B905" s="19"/>
      <c r="C905" s="19"/>
      <c r="E905" s="19"/>
      <c r="F905" s="20"/>
      <c r="W905" s="21"/>
      <c r="X905" s="21"/>
    </row>
    <row r="906" ht="15.75" customHeight="1">
      <c r="B906" s="19"/>
      <c r="C906" s="19"/>
      <c r="E906" s="19"/>
      <c r="F906" s="20"/>
      <c r="W906" s="21"/>
      <c r="X906" s="21"/>
    </row>
    <row r="907" ht="15.75" customHeight="1">
      <c r="B907" s="19"/>
      <c r="C907" s="19"/>
      <c r="E907" s="19"/>
      <c r="F907" s="20"/>
      <c r="W907" s="21"/>
      <c r="X907" s="21"/>
    </row>
    <row r="908" ht="15.75" customHeight="1">
      <c r="B908" s="19"/>
      <c r="C908" s="19"/>
      <c r="E908" s="19"/>
      <c r="F908" s="20"/>
      <c r="W908" s="21"/>
      <c r="X908" s="21"/>
    </row>
    <row r="909" ht="15.75" customHeight="1">
      <c r="B909" s="19"/>
      <c r="C909" s="19"/>
      <c r="E909" s="19"/>
      <c r="F909" s="20"/>
      <c r="W909" s="21"/>
      <c r="X909" s="21"/>
    </row>
    <row r="910" ht="15.75" customHeight="1">
      <c r="B910" s="19"/>
      <c r="C910" s="19"/>
      <c r="E910" s="19"/>
      <c r="F910" s="20"/>
      <c r="W910" s="21"/>
      <c r="X910" s="21"/>
    </row>
    <row r="911" ht="15.75" customHeight="1">
      <c r="B911" s="19"/>
      <c r="C911" s="19"/>
      <c r="E911" s="19"/>
      <c r="F911" s="20"/>
      <c r="W911" s="21"/>
      <c r="X911" s="21"/>
    </row>
    <row r="912" ht="15.75" customHeight="1">
      <c r="B912" s="19"/>
      <c r="C912" s="19"/>
      <c r="E912" s="19"/>
      <c r="F912" s="20"/>
      <c r="W912" s="21"/>
      <c r="X912" s="21"/>
    </row>
    <row r="913" ht="15.75" customHeight="1">
      <c r="B913" s="19"/>
      <c r="C913" s="19"/>
      <c r="E913" s="19"/>
      <c r="F913" s="20"/>
      <c r="W913" s="21"/>
      <c r="X913" s="21"/>
    </row>
    <row r="914" ht="15.75" customHeight="1">
      <c r="B914" s="19"/>
      <c r="C914" s="19"/>
      <c r="E914" s="19"/>
      <c r="F914" s="20"/>
      <c r="W914" s="21"/>
      <c r="X914" s="21"/>
    </row>
    <row r="915" ht="15.75" customHeight="1">
      <c r="B915" s="19"/>
      <c r="C915" s="19"/>
      <c r="E915" s="19"/>
      <c r="F915" s="20"/>
      <c r="W915" s="21"/>
      <c r="X915" s="21"/>
    </row>
    <row r="916" ht="15.75" customHeight="1">
      <c r="B916" s="19"/>
      <c r="C916" s="19"/>
      <c r="E916" s="19"/>
      <c r="F916" s="20"/>
      <c r="W916" s="21"/>
      <c r="X916" s="21"/>
    </row>
    <row r="917" ht="15.75" customHeight="1">
      <c r="B917" s="19"/>
      <c r="C917" s="19"/>
      <c r="E917" s="19"/>
      <c r="F917" s="20"/>
      <c r="W917" s="21"/>
      <c r="X917" s="21"/>
    </row>
    <row r="918" ht="15.75" customHeight="1">
      <c r="B918" s="19"/>
      <c r="C918" s="19"/>
      <c r="E918" s="19"/>
      <c r="F918" s="20"/>
      <c r="W918" s="21"/>
      <c r="X918" s="21"/>
    </row>
    <row r="919" ht="15.75" customHeight="1">
      <c r="B919" s="19"/>
      <c r="C919" s="19"/>
      <c r="E919" s="19"/>
      <c r="F919" s="20"/>
      <c r="W919" s="21"/>
      <c r="X919" s="21"/>
    </row>
    <row r="920" ht="15.75" customHeight="1">
      <c r="B920" s="19"/>
      <c r="C920" s="19"/>
      <c r="E920" s="19"/>
      <c r="F920" s="20"/>
      <c r="W920" s="21"/>
      <c r="X920" s="21"/>
    </row>
    <row r="921" ht="15.75" customHeight="1">
      <c r="B921" s="19"/>
      <c r="C921" s="19"/>
      <c r="E921" s="19"/>
      <c r="F921" s="20"/>
      <c r="W921" s="21"/>
      <c r="X921" s="21"/>
    </row>
    <row r="922" ht="15.75" customHeight="1">
      <c r="B922" s="19"/>
      <c r="C922" s="19"/>
      <c r="E922" s="19"/>
      <c r="F922" s="20"/>
      <c r="W922" s="21"/>
      <c r="X922" s="21"/>
    </row>
    <row r="923" ht="15.75" customHeight="1">
      <c r="B923" s="19"/>
      <c r="C923" s="19"/>
      <c r="E923" s="19"/>
      <c r="F923" s="20"/>
      <c r="W923" s="21"/>
      <c r="X923" s="21"/>
    </row>
    <row r="924" ht="15.75" customHeight="1">
      <c r="B924" s="19"/>
      <c r="C924" s="19"/>
      <c r="E924" s="19"/>
      <c r="F924" s="20"/>
      <c r="W924" s="21"/>
      <c r="X924" s="21"/>
    </row>
    <row r="925" ht="15.75" customHeight="1">
      <c r="B925" s="19"/>
      <c r="C925" s="19"/>
      <c r="E925" s="19"/>
      <c r="F925" s="20"/>
      <c r="W925" s="21"/>
      <c r="X925" s="21"/>
    </row>
    <row r="926" ht="15.75" customHeight="1">
      <c r="B926" s="19"/>
      <c r="C926" s="19"/>
      <c r="E926" s="19"/>
      <c r="F926" s="20"/>
      <c r="W926" s="21"/>
      <c r="X926" s="21"/>
    </row>
    <row r="927" ht="15.75" customHeight="1">
      <c r="B927" s="19"/>
      <c r="C927" s="19"/>
      <c r="E927" s="19"/>
      <c r="F927" s="20"/>
      <c r="W927" s="21"/>
      <c r="X927" s="21"/>
    </row>
    <row r="928" ht="15.75" customHeight="1">
      <c r="B928" s="19"/>
      <c r="C928" s="19"/>
      <c r="E928" s="19"/>
      <c r="F928" s="20"/>
      <c r="W928" s="21"/>
      <c r="X928" s="21"/>
    </row>
    <row r="929" ht="15.75" customHeight="1">
      <c r="B929" s="19"/>
      <c r="C929" s="19"/>
      <c r="E929" s="19"/>
      <c r="F929" s="20"/>
      <c r="W929" s="21"/>
      <c r="X929" s="21"/>
    </row>
    <row r="930" ht="15.75" customHeight="1">
      <c r="B930" s="19"/>
      <c r="C930" s="19"/>
      <c r="E930" s="19"/>
      <c r="F930" s="20"/>
      <c r="W930" s="21"/>
      <c r="X930" s="21"/>
    </row>
    <row r="931" ht="15.75" customHeight="1">
      <c r="B931" s="19"/>
      <c r="C931" s="19"/>
      <c r="E931" s="19"/>
      <c r="F931" s="20"/>
      <c r="W931" s="21"/>
      <c r="X931" s="21"/>
    </row>
    <row r="932" ht="15.75" customHeight="1">
      <c r="B932" s="19"/>
      <c r="C932" s="19"/>
      <c r="E932" s="19"/>
      <c r="F932" s="20"/>
      <c r="W932" s="21"/>
      <c r="X932" s="21"/>
    </row>
    <row r="933" ht="15.75" customHeight="1">
      <c r="B933" s="19"/>
      <c r="C933" s="19"/>
      <c r="E933" s="19"/>
      <c r="F933" s="20"/>
      <c r="W933" s="21"/>
      <c r="X933" s="21"/>
    </row>
    <row r="934" ht="15.75" customHeight="1">
      <c r="B934" s="19"/>
      <c r="C934" s="19"/>
      <c r="E934" s="19"/>
      <c r="F934" s="20"/>
      <c r="W934" s="21"/>
      <c r="X934" s="21"/>
    </row>
    <row r="935" ht="15.75" customHeight="1">
      <c r="B935" s="19"/>
      <c r="C935" s="19"/>
      <c r="E935" s="19"/>
      <c r="F935" s="20"/>
      <c r="W935" s="21"/>
      <c r="X935" s="21"/>
    </row>
    <row r="936" ht="15.75" customHeight="1">
      <c r="B936" s="19"/>
      <c r="C936" s="19"/>
      <c r="E936" s="19"/>
      <c r="F936" s="20"/>
      <c r="W936" s="21"/>
      <c r="X936" s="21"/>
    </row>
    <row r="937" ht="15.75" customHeight="1">
      <c r="B937" s="19"/>
      <c r="C937" s="19"/>
      <c r="E937" s="19"/>
      <c r="F937" s="20"/>
      <c r="W937" s="21"/>
      <c r="X937" s="21"/>
    </row>
    <row r="938" ht="15.75" customHeight="1">
      <c r="B938" s="19"/>
      <c r="C938" s="19"/>
      <c r="E938" s="19"/>
      <c r="F938" s="20"/>
      <c r="W938" s="21"/>
      <c r="X938" s="21"/>
    </row>
    <row r="939" ht="15.75" customHeight="1">
      <c r="B939" s="19"/>
      <c r="C939" s="19"/>
      <c r="E939" s="19"/>
      <c r="F939" s="20"/>
      <c r="W939" s="21"/>
      <c r="X939" s="21"/>
    </row>
    <row r="940" ht="15.75" customHeight="1">
      <c r="B940" s="19"/>
      <c r="C940" s="19"/>
      <c r="E940" s="19"/>
      <c r="F940" s="20"/>
      <c r="W940" s="21"/>
      <c r="X940" s="21"/>
    </row>
    <row r="941" ht="15.75" customHeight="1">
      <c r="B941" s="19"/>
      <c r="C941" s="19"/>
      <c r="E941" s="19"/>
      <c r="F941" s="20"/>
      <c r="W941" s="21"/>
      <c r="X941" s="21"/>
    </row>
    <row r="942" ht="15.75" customHeight="1">
      <c r="B942" s="19"/>
      <c r="C942" s="19"/>
      <c r="E942" s="19"/>
      <c r="F942" s="20"/>
      <c r="W942" s="21"/>
      <c r="X942" s="21"/>
    </row>
    <row r="943" ht="15.75" customHeight="1">
      <c r="B943" s="19"/>
      <c r="C943" s="19"/>
      <c r="E943" s="19"/>
      <c r="F943" s="20"/>
      <c r="W943" s="21"/>
      <c r="X943" s="21"/>
    </row>
    <row r="944" ht="15.75" customHeight="1">
      <c r="B944" s="19"/>
      <c r="C944" s="19"/>
      <c r="E944" s="19"/>
      <c r="F944" s="20"/>
      <c r="W944" s="21"/>
      <c r="X944" s="21"/>
    </row>
    <row r="945" ht="15.75" customHeight="1">
      <c r="B945" s="19"/>
      <c r="C945" s="19"/>
      <c r="E945" s="19"/>
      <c r="F945" s="20"/>
      <c r="W945" s="21"/>
      <c r="X945" s="21"/>
    </row>
    <row r="946" ht="15.75" customHeight="1">
      <c r="B946" s="19"/>
      <c r="C946" s="19"/>
      <c r="E946" s="19"/>
      <c r="F946" s="20"/>
      <c r="W946" s="21"/>
      <c r="X946" s="21"/>
    </row>
    <row r="947" ht="15.75" customHeight="1">
      <c r="B947" s="19"/>
      <c r="C947" s="19"/>
      <c r="E947" s="19"/>
      <c r="F947" s="20"/>
      <c r="W947" s="21"/>
      <c r="X947" s="21"/>
    </row>
    <row r="948" ht="15.75" customHeight="1">
      <c r="B948" s="19"/>
      <c r="C948" s="19"/>
      <c r="E948" s="19"/>
      <c r="F948" s="20"/>
      <c r="W948" s="21"/>
      <c r="X948" s="21"/>
    </row>
    <row r="949" ht="15.75" customHeight="1">
      <c r="B949" s="19"/>
      <c r="C949" s="19"/>
      <c r="E949" s="19"/>
      <c r="F949" s="20"/>
      <c r="W949" s="21"/>
      <c r="X949" s="21"/>
    </row>
    <row r="950" ht="15.75" customHeight="1">
      <c r="B950" s="19"/>
      <c r="C950" s="19"/>
      <c r="E950" s="19"/>
      <c r="F950" s="20"/>
      <c r="W950" s="21"/>
      <c r="X950" s="21"/>
    </row>
    <row r="951" ht="15.75" customHeight="1">
      <c r="B951" s="19"/>
      <c r="C951" s="19"/>
      <c r="E951" s="19"/>
      <c r="F951" s="20"/>
      <c r="W951" s="21"/>
      <c r="X951" s="21"/>
    </row>
    <row r="952" ht="15.75" customHeight="1">
      <c r="B952" s="19"/>
      <c r="C952" s="19"/>
      <c r="E952" s="19"/>
      <c r="F952" s="20"/>
      <c r="W952" s="21"/>
      <c r="X952" s="21"/>
    </row>
    <row r="953" ht="15.75" customHeight="1">
      <c r="B953" s="19"/>
      <c r="C953" s="19"/>
      <c r="E953" s="19"/>
      <c r="F953" s="20"/>
      <c r="W953" s="21"/>
      <c r="X953" s="21"/>
    </row>
    <row r="954" ht="15.75" customHeight="1">
      <c r="B954" s="19"/>
      <c r="C954" s="19"/>
      <c r="E954" s="19"/>
      <c r="F954" s="20"/>
      <c r="W954" s="21"/>
      <c r="X954" s="21"/>
    </row>
    <row r="955" ht="15.75" customHeight="1">
      <c r="B955" s="19"/>
      <c r="C955" s="19"/>
      <c r="E955" s="19"/>
      <c r="F955" s="20"/>
      <c r="W955" s="21"/>
      <c r="X955" s="21"/>
    </row>
    <row r="956" ht="15.75" customHeight="1">
      <c r="B956" s="19"/>
      <c r="C956" s="19"/>
      <c r="E956" s="19"/>
      <c r="F956" s="20"/>
      <c r="W956" s="21"/>
      <c r="X956" s="21"/>
    </row>
    <row r="957" ht="15.75" customHeight="1">
      <c r="B957" s="19"/>
      <c r="C957" s="19"/>
      <c r="E957" s="19"/>
      <c r="F957" s="20"/>
      <c r="W957" s="21"/>
      <c r="X957" s="21"/>
    </row>
    <row r="958" ht="15.75" customHeight="1">
      <c r="B958" s="19"/>
      <c r="C958" s="19"/>
      <c r="E958" s="19"/>
      <c r="F958" s="20"/>
      <c r="W958" s="21"/>
      <c r="X958" s="21"/>
    </row>
    <row r="959" ht="15.75" customHeight="1">
      <c r="B959" s="19"/>
      <c r="C959" s="19"/>
      <c r="E959" s="19"/>
      <c r="F959" s="20"/>
      <c r="W959" s="21"/>
      <c r="X959" s="21"/>
    </row>
    <row r="960" ht="15.75" customHeight="1">
      <c r="B960" s="19"/>
      <c r="C960" s="19"/>
      <c r="E960" s="19"/>
      <c r="F960" s="20"/>
      <c r="W960" s="21"/>
      <c r="X960" s="21"/>
    </row>
    <row r="961" ht="15.75" customHeight="1">
      <c r="B961" s="19"/>
      <c r="C961" s="19"/>
      <c r="E961" s="19"/>
      <c r="F961" s="20"/>
      <c r="W961" s="21"/>
      <c r="X961" s="21"/>
    </row>
    <row r="962" ht="15.75" customHeight="1">
      <c r="B962" s="19"/>
      <c r="C962" s="19"/>
      <c r="E962" s="19"/>
      <c r="F962" s="20"/>
      <c r="W962" s="21"/>
      <c r="X962" s="21"/>
    </row>
    <row r="963" ht="15.75" customHeight="1">
      <c r="B963" s="19"/>
      <c r="C963" s="19"/>
      <c r="E963" s="19"/>
      <c r="F963" s="20"/>
      <c r="W963" s="21"/>
      <c r="X963" s="21"/>
    </row>
    <row r="964" ht="15.75" customHeight="1">
      <c r="B964" s="19"/>
      <c r="C964" s="19"/>
      <c r="E964" s="19"/>
      <c r="F964" s="20"/>
      <c r="W964" s="21"/>
      <c r="X964" s="21"/>
    </row>
    <row r="965" ht="15.75" customHeight="1">
      <c r="B965" s="19"/>
      <c r="C965" s="19"/>
      <c r="E965" s="19"/>
      <c r="F965" s="20"/>
      <c r="W965" s="21"/>
      <c r="X965" s="21"/>
    </row>
    <row r="966" ht="15.75" customHeight="1">
      <c r="B966" s="19"/>
      <c r="C966" s="19"/>
      <c r="E966" s="19"/>
      <c r="F966" s="20"/>
      <c r="W966" s="21"/>
      <c r="X966" s="21"/>
    </row>
    <row r="967" ht="15.75" customHeight="1">
      <c r="B967" s="19"/>
      <c r="C967" s="19"/>
      <c r="E967" s="19"/>
      <c r="F967" s="20"/>
      <c r="W967" s="21"/>
      <c r="X967" s="21"/>
    </row>
    <row r="968" ht="15.75" customHeight="1">
      <c r="B968" s="19"/>
      <c r="C968" s="19"/>
      <c r="E968" s="19"/>
      <c r="F968" s="20"/>
      <c r="W968" s="21"/>
      <c r="X968" s="21"/>
    </row>
    <row r="969" ht="15.75" customHeight="1">
      <c r="B969" s="19"/>
      <c r="C969" s="19"/>
      <c r="E969" s="19"/>
      <c r="F969" s="20"/>
      <c r="W969" s="21"/>
      <c r="X969" s="21"/>
    </row>
    <row r="970" ht="15.75" customHeight="1">
      <c r="B970" s="19"/>
      <c r="C970" s="19"/>
      <c r="E970" s="19"/>
      <c r="F970" s="20"/>
      <c r="W970" s="21"/>
      <c r="X970" s="21"/>
    </row>
    <row r="971" ht="15.75" customHeight="1">
      <c r="B971" s="19"/>
      <c r="C971" s="19"/>
      <c r="E971" s="19"/>
      <c r="F971" s="20"/>
      <c r="W971" s="21"/>
      <c r="X971" s="21"/>
    </row>
    <row r="972" ht="15.75" customHeight="1">
      <c r="B972" s="19"/>
      <c r="C972" s="19"/>
      <c r="E972" s="19"/>
      <c r="F972" s="20"/>
      <c r="W972" s="21"/>
      <c r="X972" s="21"/>
    </row>
    <row r="973" ht="15.75" customHeight="1">
      <c r="B973" s="19"/>
      <c r="C973" s="19"/>
      <c r="E973" s="19"/>
      <c r="F973" s="20"/>
      <c r="W973" s="21"/>
      <c r="X973" s="21"/>
    </row>
    <row r="974" ht="15.75" customHeight="1">
      <c r="B974" s="19"/>
      <c r="C974" s="19"/>
      <c r="E974" s="19"/>
      <c r="F974" s="20"/>
      <c r="W974" s="21"/>
      <c r="X974" s="21"/>
    </row>
    <row r="975" ht="15.75" customHeight="1">
      <c r="B975" s="19"/>
      <c r="C975" s="19"/>
      <c r="E975" s="19"/>
      <c r="F975" s="20"/>
      <c r="W975" s="21"/>
      <c r="X975" s="21"/>
    </row>
    <row r="976" ht="15.75" customHeight="1">
      <c r="B976" s="19"/>
      <c r="C976" s="19"/>
      <c r="E976" s="19"/>
      <c r="F976" s="20"/>
      <c r="W976" s="21"/>
      <c r="X976" s="21"/>
    </row>
    <row r="977" ht="15.75" customHeight="1">
      <c r="B977" s="19"/>
      <c r="C977" s="19"/>
      <c r="E977" s="19"/>
      <c r="F977" s="20"/>
      <c r="W977" s="21"/>
      <c r="X977" s="21"/>
    </row>
    <row r="978" ht="15.75" customHeight="1">
      <c r="B978" s="19"/>
      <c r="C978" s="19"/>
      <c r="E978" s="19"/>
      <c r="F978" s="20"/>
      <c r="W978" s="21"/>
      <c r="X978" s="21"/>
    </row>
    <row r="979" ht="15.75" customHeight="1">
      <c r="B979" s="19"/>
      <c r="C979" s="19"/>
      <c r="E979" s="19"/>
      <c r="F979" s="20"/>
      <c r="W979" s="21"/>
      <c r="X979" s="21"/>
    </row>
    <row r="980" ht="15.75" customHeight="1">
      <c r="B980" s="19"/>
      <c r="C980" s="19"/>
      <c r="E980" s="19"/>
      <c r="F980" s="20"/>
      <c r="W980" s="21"/>
      <c r="X980" s="21"/>
    </row>
    <row r="981" ht="15.75" customHeight="1">
      <c r="B981" s="19"/>
      <c r="C981" s="19"/>
      <c r="E981" s="19"/>
      <c r="F981" s="20"/>
      <c r="W981" s="21"/>
      <c r="X981" s="21"/>
    </row>
    <row r="982" ht="15.75" customHeight="1">
      <c r="B982" s="19"/>
      <c r="C982" s="19"/>
      <c r="E982" s="19"/>
      <c r="F982" s="20"/>
      <c r="W982" s="21"/>
      <c r="X982" s="21"/>
    </row>
    <row r="983" ht="15.75" customHeight="1">
      <c r="B983" s="19"/>
      <c r="C983" s="19"/>
      <c r="E983" s="19"/>
      <c r="F983" s="20"/>
      <c r="W983" s="21"/>
      <c r="X983" s="21"/>
    </row>
    <row r="984" ht="15.75" customHeight="1">
      <c r="B984" s="19"/>
      <c r="C984" s="19"/>
      <c r="E984" s="19"/>
      <c r="F984" s="20"/>
      <c r="W984" s="21"/>
      <c r="X984" s="21"/>
    </row>
    <row r="985" ht="15.75" customHeight="1">
      <c r="B985" s="19"/>
      <c r="C985" s="19"/>
      <c r="E985" s="19"/>
      <c r="F985" s="20"/>
      <c r="W985" s="21"/>
      <c r="X985" s="21"/>
    </row>
    <row r="986" ht="15.75" customHeight="1">
      <c r="B986" s="19"/>
      <c r="C986" s="19"/>
      <c r="E986" s="19"/>
      <c r="F986" s="20"/>
      <c r="W986" s="21"/>
      <c r="X986" s="21"/>
    </row>
    <row r="987" ht="15.75" customHeight="1">
      <c r="B987" s="19"/>
      <c r="C987" s="19"/>
      <c r="E987" s="19"/>
      <c r="F987" s="20"/>
      <c r="W987" s="21"/>
      <c r="X987" s="21"/>
    </row>
    <row r="988" ht="15.75" customHeight="1">
      <c r="B988" s="19"/>
      <c r="C988" s="19"/>
      <c r="E988" s="19"/>
      <c r="F988" s="20"/>
      <c r="W988" s="21"/>
      <c r="X988" s="21"/>
    </row>
    <row r="989" ht="15.75" customHeight="1">
      <c r="B989" s="19"/>
      <c r="C989" s="19"/>
      <c r="E989" s="19"/>
      <c r="F989" s="20"/>
      <c r="W989" s="21"/>
      <c r="X989" s="21"/>
    </row>
    <row r="990" ht="15.75" customHeight="1">
      <c r="B990" s="19"/>
      <c r="C990" s="19"/>
      <c r="E990" s="19"/>
      <c r="F990" s="20"/>
      <c r="W990" s="21"/>
      <c r="X990" s="21"/>
    </row>
    <row r="991" ht="15.75" customHeight="1">
      <c r="B991" s="19"/>
      <c r="C991" s="19"/>
      <c r="E991" s="19"/>
      <c r="F991" s="20"/>
      <c r="W991" s="21"/>
      <c r="X991" s="21"/>
    </row>
    <row r="992" ht="15.75" customHeight="1">
      <c r="B992" s="19"/>
      <c r="C992" s="19"/>
      <c r="E992" s="19"/>
      <c r="F992" s="20"/>
      <c r="W992" s="21"/>
      <c r="X992" s="21"/>
    </row>
    <row r="993" ht="15.75" customHeight="1">
      <c r="B993" s="19"/>
      <c r="C993" s="19"/>
      <c r="E993" s="19"/>
      <c r="F993" s="20"/>
      <c r="W993" s="21"/>
      <c r="X993" s="21"/>
    </row>
    <row r="994" ht="15.75" customHeight="1">
      <c r="B994" s="19"/>
      <c r="C994" s="19"/>
      <c r="E994" s="19"/>
      <c r="F994" s="20"/>
      <c r="W994" s="21"/>
      <c r="X994" s="21"/>
    </row>
    <row r="995" ht="15.75" customHeight="1">
      <c r="B995" s="19"/>
      <c r="C995" s="19"/>
      <c r="E995" s="19"/>
      <c r="F995" s="20"/>
      <c r="W995" s="21"/>
      <c r="X995" s="21"/>
    </row>
    <row r="996" ht="15.75" customHeight="1">
      <c r="B996" s="19"/>
      <c r="C996" s="19"/>
      <c r="E996" s="19"/>
      <c r="F996" s="20"/>
      <c r="W996" s="21"/>
      <c r="X996" s="21"/>
    </row>
    <row r="997" ht="15.75" customHeight="1">
      <c r="B997" s="19"/>
      <c r="C997" s="19"/>
      <c r="E997" s="19"/>
      <c r="F997" s="20"/>
      <c r="W997" s="21"/>
      <c r="X997" s="21"/>
    </row>
    <row r="998" ht="15.75" customHeight="1">
      <c r="B998" s="19"/>
      <c r="C998" s="19"/>
      <c r="E998" s="19"/>
      <c r="F998" s="20"/>
      <c r="W998" s="21"/>
      <c r="X998" s="21"/>
    </row>
    <row r="999" ht="15.75" customHeight="1">
      <c r="B999" s="19"/>
      <c r="C999" s="19"/>
      <c r="E999" s="19"/>
      <c r="F999" s="20"/>
      <c r="W999" s="21"/>
      <c r="X999" s="21"/>
    </row>
    <row r="1000" ht="15.75" customHeight="1">
      <c r="B1000" s="19"/>
      <c r="C1000" s="19"/>
      <c r="E1000" s="19"/>
      <c r="F1000" s="20"/>
      <c r="W1000" s="21"/>
      <c r="X1000" s="21"/>
    </row>
    <row r="1001" ht="15.75" customHeight="1">
      <c r="B1001" s="19"/>
      <c r="C1001" s="19"/>
      <c r="E1001" s="19"/>
      <c r="F1001" s="20"/>
      <c r="W1001" s="21"/>
      <c r="X1001" s="21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9.0"/>
    <col customWidth="1" min="2" max="2" width="25.78"/>
    <col customWidth="1" min="3" max="3" width="22.67"/>
    <col customWidth="1" min="4" max="4" width="8.78"/>
    <col customWidth="1" min="5" max="5" width="17.44"/>
    <col customWidth="1" min="6" max="7" width="10.56"/>
    <col customWidth="1" min="8" max="8" width="17.44"/>
    <col customWidth="1" min="9" max="9" width="12.78"/>
    <col customWidth="1" min="10" max="10" width="17.67"/>
    <col customWidth="1" min="11" max="11" width="14.44"/>
    <col customWidth="1" min="12" max="12" width="17.67"/>
    <col customWidth="1" min="13" max="13" width="21.78"/>
    <col customWidth="1" min="14" max="14" width="18.44"/>
    <col customWidth="1" min="15" max="15" width="10.56"/>
    <col customWidth="1" min="16" max="16" width="19.11"/>
    <col customWidth="1" min="17" max="17" width="20.44"/>
    <col customWidth="1" min="18" max="18" width="20.0"/>
    <col customWidth="1" min="19" max="19" width="20.44"/>
    <col customWidth="1" min="20" max="20" width="21.33"/>
    <col customWidth="1" min="21" max="21" width="13.33"/>
    <col customWidth="1" min="22" max="22" width="17.67"/>
    <col customWidth="1" min="23" max="23" width="10.56"/>
    <col customWidth="1" min="24" max="24" width="41.78"/>
    <col customWidth="1" min="25" max="26" width="10.56"/>
  </cols>
  <sheetData>
    <row r="1" ht="22.5" customHeight="1">
      <c r="A1" s="24" t="s">
        <v>0</v>
      </c>
      <c r="B1" s="25" t="s">
        <v>1</v>
      </c>
      <c r="C1" s="25" t="s">
        <v>2</v>
      </c>
      <c r="D1" s="26" t="s">
        <v>3</v>
      </c>
      <c r="E1" s="25" t="s">
        <v>4</v>
      </c>
      <c r="F1" s="27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8" t="s">
        <v>22</v>
      </c>
      <c r="X1" s="29" t="s">
        <v>23</v>
      </c>
    </row>
    <row r="2" ht="15.75" customHeight="1">
      <c r="A2" s="6" t="s">
        <v>55</v>
      </c>
      <c r="B2" s="7">
        <v>95.0</v>
      </c>
      <c r="C2" s="7"/>
      <c r="D2" s="8">
        <v>75000.0</v>
      </c>
      <c r="E2" s="7">
        <v>5000.0</v>
      </c>
      <c r="F2" s="9">
        <v>0.01</v>
      </c>
      <c r="G2" s="7">
        <v>-150.0</v>
      </c>
      <c r="H2" s="7">
        <v>800.0</v>
      </c>
      <c r="I2" s="7">
        <v>555.0</v>
      </c>
      <c r="J2" s="7">
        <v>0.0</v>
      </c>
      <c r="K2" s="7">
        <v>0.0</v>
      </c>
      <c r="L2" s="7">
        <v>1595.0</v>
      </c>
      <c r="M2" s="7">
        <v>955.0</v>
      </c>
      <c r="N2" s="7"/>
      <c r="O2" s="7"/>
      <c r="P2" s="10">
        <f>I2/E2</f>
        <v>0.111</v>
      </c>
      <c r="Q2" s="10">
        <v>0.0</v>
      </c>
      <c r="R2" s="10">
        <v>0.0</v>
      </c>
      <c r="S2" s="10">
        <f>L2/E2</f>
        <v>0.319</v>
      </c>
      <c r="T2" s="10"/>
      <c r="U2" s="10"/>
      <c r="V2" s="10">
        <f t="shared" ref="V2:V3" si="1">M2/E2</f>
        <v>0.191</v>
      </c>
      <c r="W2" s="11"/>
      <c r="X2" s="11" t="s">
        <v>56</v>
      </c>
    </row>
    <row r="3" ht="15.75" customHeight="1">
      <c r="A3" s="6" t="s">
        <v>57</v>
      </c>
      <c r="B3" s="7">
        <v>99.0</v>
      </c>
      <c r="C3" s="7"/>
      <c r="D3" s="8">
        <v>50000.0</v>
      </c>
      <c r="E3" s="7">
        <v>1000.0</v>
      </c>
      <c r="F3" s="9">
        <v>0.01</v>
      </c>
      <c r="G3" s="7">
        <v>-30.0</v>
      </c>
      <c r="H3" s="7">
        <v>0.0</v>
      </c>
      <c r="I3" s="7">
        <v>0.0</v>
      </c>
      <c r="J3" s="7">
        <v>0.0</v>
      </c>
      <c r="K3" s="7">
        <v>0.0</v>
      </c>
      <c r="L3" s="7">
        <v>0.0</v>
      </c>
      <c r="M3" s="7">
        <v>636.0</v>
      </c>
      <c r="N3" s="7"/>
      <c r="O3" s="7"/>
      <c r="P3" s="7">
        <v>0.0</v>
      </c>
      <c r="Q3" s="7">
        <v>0.0</v>
      </c>
      <c r="R3" s="7">
        <v>0.0</v>
      </c>
      <c r="S3" s="7">
        <v>0.0</v>
      </c>
      <c r="T3" s="7"/>
      <c r="U3" s="7"/>
      <c r="V3" s="10">
        <f t="shared" si="1"/>
        <v>0.636</v>
      </c>
      <c r="W3" s="11"/>
      <c r="X3" s="11" t="s">
        <v>58</v>
      </c>
    </row>
    <row r="4" ht="15.75" customHeight="1">
      <c r="A4" s="6" t="s">
        <v>59</v>
      </c>
      <c r="B4" s="7">
        <v>0.0</v>
      </c>
      <c r="C4" s="7"/>
      <c r="D4" s="8">
        <v>60000.0</v>
      </c>
      <c r="E4" s="7">
        <v>3000.0</v>
      </c>
      <c r="F4" s="9">
        <v>0.01</v>
      </c>
      <c r="G4" s="7">
        <v>-90.0</v>
      </c>
      <c r="H4" s="7">
        <v>0.0</v>
      </c>
      <c r="I4" s="7">
        <v>0.0</v>
      </c>
      <c r="J4" s="7">
        <v>0.0</v>
      </c>
      <c r="K4" s="7">
        <v>0.0</v>
      </c>
      <c r="L4" s="7">
        <v>0.0</v>
      </c>
      <c r="M4" s="7">
        <v>0.0</v>
      </c>
      <c r="N4" s="7">
        <v>666.0</v>
      </c>
      <c r="O4" s="7"/>
      <c r="P4" s="7">
        <v>0.0</v>
      </c>
      <c r="Q4" s="7">
        <v>0.0</v>
      </c>
      <c r="R4" s="7">
        <v>0.0</v>
      </c>
      <c r="S4" s="7">
        <v>0.0</v>
      </c>
      <c r="T4" s="8"/>
      <c r="U4" s="8"/>
      <c r="V4" s="10">
        <v>0.22</v>
      </c>
      <c r="W4" s="11" t="s">
        <v>60</v>
      </c>
      <c r="X4" s="11" t="s">
        <v>58</v>
      </c>
    </row>
    <row r="5" ht="15.75" customHeight="1">
      <c r="A5" s="6" t="s">
        <v>61</v>
      </c>
      <c r="B5" s="7"/>
      <c r="C5" s="7"/>
      <c r="D5" s="8"/>
      <c r="E5" s="7"/>
      <c r="F5" s="9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11"/>
      <c r="X5" s="11"/>
    </row>
    <row r="6" ht="15.75" customHeight="1">
      <c r="A6" s="6" t="s">
        <v>62</v>
      </c>
      <c r="B6" s="7"/>
      <c r="C6" s="7"/>
      <c r="D6" s="8"/>
      <c r="E6" s="7"/>
      <c r="F6" s="9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11"/>
      <c r="X6" s="11"/>
    </row>
    <row r="7" ht="15.75" customHeight="1">
      <c r="A7" s="6" t="s">
        <v>63</v>
      </c>
      <c r="B7" s="7">
        <v>0.0</v>
      </c>
      <c r="C7" s="7"/>
      <c r="D7" s="8">
        <v>200.0</v>
      </c>
      <c r="E7" s="7">
        <v>2000.0</v>
      </c>
      <c r="F7" s="9">
        <v>0.01</v>
      </c>
      <c r="G7" s="7">
        <v>-60.0</v>
      </c>
      <c r="H7" s="7">
        <v>160.0</v>
      </c>
      <c r="I7" s="7">
        <v>0.0</v>
      </c>
      <c r="J7" s="7">
        <v>0.0</v>
      </c>
      <c r="K7" s="7">
        <v>0.0</v>
      </c>
      <c r="L7" s="7">
        <v>0.0</v>
      </c>
      <c r="M7" s="7">
        <v>0.0</v>
      </c>
      <c r="N7" s="7">
        <v>0.0</v>
      </c>
      <c r="O7" s="7"/>
      <c r="P7" s="10">
        <f>H7/E7</f>
        <v>0.08</v>
      </c>
      <c r="Q7" s="7">
        <v>0.0</v>
      </c>
      <c r="R7" s="7">
        <v>0.0</v>
      </c>
      <c r="S7" s="7">
        <v>0.0</v>
      </c>
      <c r="T7" s="8"/>
      <c r="U7" s="8"/>
      <c r="V7" s="8"/>
      <c r="W7" s="11"/>
      <c r="X7" s="11" t="s">
        <v>64</v>
      </c>
    </row>
    <row r="8" ht="15.75" customHeight="1">
      <c r="A8" s="6" t="s">
        <v>65</v>
      </c>
      <c r="B8" s="7" t="s">
        <v>66</v>
      </c>
      <c r="C8" s="7"/>
      <c r="D8" s="8"/>
      <c r="E8" s="7"/>
      <c r="F8" s="9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11"/>
      <c r="X8" s="11"/>
    </row>
    <row r="9" ht="15.75" customHeight="1">
      <c r="A9" s="6" t="s">
        <v>31</v>
      </c>
      <c r="B9" s="7">
        <v>0.0</v>
      </c>
      <c r="C9" s="7"/>
      <c r="D9" s="8">
        <v>50000.0</v>
      </c>
      <c r="E9" s="7">
        <v>2000.0</v>
      </c>
      <c r="F9" s="9">
        <v>0.01</v>
      </c>
      <c r="G9" s="7">
        <v>-60.0</v>
      </c>
      <c r="H9" s="7">
        <v>0.0</v>
      </c>
      <c r="I9" s="7">
        <v>0.0</v>
      </c>
      <c r="J9" s="7">
        <v>540.0</v>
      </c>
      <c r="K9" s="7">
        <v>0.0</v>
      </c>
      <c r="L9" s="7">
        <v>0.0</v>
      </c>
      <c r="M9" s="7">
        <v>0.0</v>
      </c>
      <c r="N9" s="7">
        <v>0.0</v>
      </c>
      <c r="O9" s="7"/>
      <c r="P9" s="7">
        <v>0.0</v>
      </c>
      <c r="Q9" s="10">
        <f>J9/E9</f>
        <v>0.27</v>
      </c>
      <c r="R9" s="7">
        <v>0.0</v>
      </c>
      <c r="S9" s="7">
        <v>0.0</v>
      </c>
      <c r="T9" s="8"/>
      <c r="U9" s="8"/>
      <c r="V9" s="8"/>
      <c r="W9" s="11" t="s">
        <v>67</v>
      </c>
      <c r="X9" s="11" t="s">
        <v>33</v>
      </c>
    </row>
    <row r="10" ht="15.75" customHeight="1">
      <c r="A10" s="6" t="s">
        <v>35</v>
      </c>
      <c r="B10" s="7"/>
      <c r="C10" s="7"/>
      <c r="D10" s="8"/>
      <c r="E10" s="7"/>
      <c r="F10" s="9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11"/>
      <c r="X10" s="11"/>
    </row>
    <row r="11" ht="15.75" customHeight="1">
      <c r="A11" s="6" t="s">
        <v>68</v>
      </c>
      <c r="B11" s="7" t="s">
        <v>69</v>
      </c>
      <c r="C11" s="7"/>
      <c r="D11" s="8"/>
      <c r="E11" s="7"/>
      <c r="F11" s="9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11"/>
      <c r="X11" s="11"/>
    </row>
    <row r="12" ht="15.75" customHeight="1">
      <c r="A12" s="6" t="s">
        <v>70</v>
      </c>
      <c r="B12" s="7">
        <v>0.0</v>
      </c>
      <c r="C12" s="7"/>
      <c r="D12" s="8">
        <v>50000.0</v>
      </c>
      <c r="E12" s="7">
        <v>2500.0</v>
      </c>
      <c r="F12" s="9">
        <v>0.01</v>
      </c>
      <c r="G12" s="7">
        <v>-75.0</v>
      </c>
      <c r="H12" s="7">
        <v>0.0</v>
      </c>
      <c r="I12" s="7">
        <v>0.0</v>
      </c>
      <c r="J12" s="7">
        <v>0.0</v>
      </c>
      <c r="K12" s="7">
        <v>0.0</v>
      </c>
      <c r="L12" s="7">
        <v>0.0</v>
      </c>
      <c r="M12" s="7">
        <v>0.0</v>
      </c>
      <c r="N12" s="7">
        <v>0.0</v>
      </c>
      <c r="O12" s="7">
        <v>607.5</v>
      </c>
      <c r="P12" s="7">
        <v>0.0</v>
      </c>
      <c r="Q12" s="7">
        <v>0.0</v>
      </c>
      <c r="R12" s="7">
        <v>0.0</v>
      </c>
      <c r="S12" s="7">
        <v>0.0</v>
      </c>
      <c r="T12" s="7">
        <v>0.0</v>
      </c>
      <c r="U12" s="10">
        <f>O12/E12</f>
        <v>0.243</v>
      </c>
      <c r="V12" s="8"/>
      <c r="W12" s="11"/>
      <c r="X12" s="11" t="s">
        <v>58</v>
      </c>
    </row>
    <row r="13" ht="15.75" customHeight="1">
      <c r="A13" s="6" t="s">
        <v>71</v>
      </c>
      <c r="B13" s="7">
        <v>0.0</v>
      </c>
      <c r="C13" s="7"/>
      <c r="D13" s="8">
        <v>200.0</v>
      </c>
      <c r="E13" s="7">
        <v>1500.0</v>
      </c>
      <c r="F13" s="9">
        <v>0.02</v>
      </c>
      <c r="G13" s="7">
        <v>-45.0</v>
      </c>
      <c r="H13" s="7">
        <v>230.0</v>
      </c>
      <c r="I13" s="7">
        <f>H13+G13</f>
        <v>185</v>
      </c>
      <c r="J13" s="8"/>
      <c r="K13" s="8"/>
      <c r="L13" s="8"/>
      <c r="M13" s="8"/>
      <c r="N13" s="8"/>
      <c r="O13" s="8"/>
      <c r="P13" s="10">
        <f>I13/E13</f>
        <v>0.1233333333</v>
      </c>
      <c r="Q13" s="8"/>
      <c r="R13" s="8"/>
      <c r="S13" s="8"/>
      <c r="T13" s="8"/>
      <c r="U13" s="8"/>
      <c r="V13" s="8"/>
      <c r="W13" s="11"/>
      <c r="X13" s="11"/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2025-12-27T16:42:49Z</dcterms:created>
  <dc:creator>Taylor Copacia</dc:creator>
</cp:coreProperties>
</file>